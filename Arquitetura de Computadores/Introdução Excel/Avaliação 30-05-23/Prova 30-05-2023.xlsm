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vo.933120\Desktop\"/>
    </mc:Choice>
  </mc:AlternateContent>
  <xr:revisionPtr revIDLastSave="0" documentId="13_ncr:1_{8D52F8AA-ED89-4796-9452-6674B6167768}" xr6:coauthVersionLast="47" xr6:coauthVersionMax="47" xr10:uidLastSave="{00000000-0000-0000-0000-000000000000}"/>
  <bookViews>
    <workbookView xWindow="-120" yWindow="-120" windowWidth="20730" windowHeight="11160" activeTab="6" xr2:uid="{A43AEB37-D27A-436B-8810-54D912D26C8B}"/>
  </bookViews>
  <sheets>
    <sheet name="Exercicio 3" sheetId="2" r:id="rId1"/>
    <sheet name="Exercício 4" sheetId="3" r:id="rId2"/>
    <sheet name="Exercício 5" sheetId="4" r:id="rId3"/>
    <sheet name="Exercício 6" sheetId="5" r:id="rId4"/>
    <sheet name="Exercício 7" sheetId="6" r:id="rId5"/>
    <sheet name="Exercício 8" sheetId="7" r:id="rId6"/>
    <sheet name="Questão 9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7" l="1"/>
  <c r="O9" i="7"/>
  <c r="O7" i="7"/>
  <c r="O6" i="7"/>
  <c r="O5" i="7"/>
  <c r="P9" i="7"/>
  <c r="P8" i="7"/>
  <c r="P7" i="7"/>
  <c r="P6" i="7"/>
  <c r="P5" i="7"/>
  <c r="D6" i="6"/>
  <c r="D27" i="6"/>
  <c r="D20" i="6"/>
  <c r="D13" i="6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3" i="5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3" i="4"/>
  <c r="H29" i="2"/>
  <c r="H30" i="2"/>
  <c r="H31" i="2"/>
  <c r="H32" i="2"/>
  <c r="H33" i="2"/>
  <c r="H34" i="2"/>
  <c r="H35" i="2"/>
  <c r="H36" i="2"/>
  <c r="H37" i="2"/>
  <c r="H38" i="2"/>
  <c r="H39" i="2"/>
  <c r="H40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5" i="2"/>
  <c r="G5" i="2"/>
  <c r="I29" i="3"/>
  <c r="I30" i="3" s="1"/>
  <c r="G29" i="3"/>
  <c r="H29" i="3" s="1"/>
  <c r="G30" i="3"/>
  <c r="H30" i="3" s="1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I5" i="3"/>
  <c r="G5" i="3"/>
  <c r="H5" i="3" s="1"/>
  <c r="F5" i="3"/>
  <c r="C5" i="2" l="1"/>
  <c r="F5" i="2"/>
  <c r="I5" i="2" s="1"/>
  <c r="I31" i="3"/>
  <c r="G31" i="3"/>
  <c r="H31" i="3" s="1"/>
  <c r="I6" i="3"/>
  <c r="G6" i="3"/>
  <c r="H6" i="3" s="1"/>
  <c r="G6" i="2" l="1"/>
  <c r="F6" i="2" s="1"/>
  <c r="I6" i="2" s="1"/>
  <c r="I32" i="3"/>
  <c r="G32" i="3"/>
  <c r="H32" i="3" s="1"/>
  <c r="I7" i="3"/>
  <c r="G7" i="3"/>
  <c r="H7" i="3" s="1"/>
  <c r="G7" i="2" l="1"/>
  <c r="F7" i="2" s="1"/>
  <c r="I7" i="2" s="1"/>
  <c r="I33" i="3"/>
  <c r="G33" i="3"/>
  <c r="H33" i="3" s="1"/>
  <c r="I8" i="3"/>
  <c r="G8" i="3"/>
  <c r="H8" i="3" s="1"/>
  <c r="G8" i="2" l="1"/>
  <c r="F8" i="2" s="1"/>
  <c r="I8" i="2" s="1"/>
  <c r="I34" i="3"/>
  <c r="G34" i="3"/>
  <c r="H34" i="3" s="1"/>
  <c r="I9" i="3"/>
  <c r="G9" i="3"/>
  <c r="H9" i="3" s="1"/>
  <c r="G9" i="2" l="1"/>
  <c r="F9" i="2" s="1"/>
  <c r="I9" i="2" s="1"/>
  <c r="I35" i="3"/>
  <c r="G35" i="3"/>
  <c r="H35" i="3" s="1"/>
  <c r="I10" i="3"/>
  <c r="G10" i="3"/>
  <c r="H10" i="3" s="1"/>
  <c r="G10" i="2" l="1"/>
  <c r="F10" i="2" s="1"/>
  <c r="I10" i="2" s="1"/>
  <c r="G36" i="3"/>
  <c r="H36" i="3" s="1"/>
  <c r="I36" i="3"/>
  <c r="I11" i="3"/>
  <c r="G11" i="3"/>
  <c r="H11" i="3" s="1"/>
  <c r="G11" i="2" l="1"/>
  <c r="F11" i="2" s="1"/>
  <c r="I11" i="2" s="1"/>
  <c r="I37" i="3"/>
  <c r="G37" i="3"/>
  <c r="H37" i="3" s="1"/>
  <c r="I12" i="3"/>
  <c r="G12" i="3"/>
  <c r="H12" i="3" s="1"/>
  <c r="G12" i="2" l="1"/>
  <c r="F12" i="2" s="1"/>
  <c r="I12" i="2" s="1"/>
  <c r="I38" i="3"/>
  <c r="G38" i="3"/>
  <c r="H38" i="3" s="1"/>
  <c r="I13" i="3"/>
  <c r="G13" i="3"/>
  <c r="H13" i="3" s="1"/>
  <c r="G13" i="2" l="1"/>
  <c r="F13" i="2" s="1"/>
  <c r="I13" i="2" s="1"/>
  <c r="I39" i="3"/>
  <c r="G39" i="3"/>
  <c r="H39" i="3" s="1"/>
  <c r="I14" i="3"/>
  <c r="G14" i="3"/>
  <c r="H14" i="3" s="1"/>
  <c r="G14" i="2" l="1"/>
  <c r="F14" i="2" s="1"/>
  <c r="I14" i="2" s="1"/>
  <c r="G40" i="3"/>
  <c r="H40" i="3" s="1"/>
  <c r="I40" i="3"/>
  <c r="I15" i="3"/>
  <c r="G15" i="3"/>
  <c r="H15" i="3" s="1"/>
  <c r="G15" i="2" l="1"/>
  <c r="F15" i="2" s="1"/>
  <c r="I15" i="2" s="1"/>
  <c r="I41" i="3"/>
  <c r="G41" i="3"/>
  <c r="H41" i="3" s="1"/>
  <c r="I16" i="3"/>
  <c r="G16" i="3"/>
  <c r="H16" i="3" s="1"/>
  <c r="G16" i="2" l="1"/>
  <c r="F16" i="2" s="1"/>
  <c r="I16" i="2" s="1"/>
  <c r="I42" i="3"/>
  <c r="G42" i="3"/>
  <c r="H42" i="3" s="1"/>
  <c r="I17" i="3"/>
  <c r="G17" i="3"/>
  <c r="H17" i="3" s="1"/>
  <c r="G17" i="2" l="1"/>
  <c r="F17" i="2" s="1"/>
  <c r="I17" i="2" s="1"/>
  <c r="I43" i="3"/>
  <c r="G43" i="3"/>
  <c r="H43" i="3" s="1"/>
  <c r="I18" i="3"/>
  <c r="G18" i="3"/>
  <c r="H18" i="3" s="1"/>
  <c r="G18" i="2" l="1"/>
  <c r="F18" i="2" s="1"/>
  <c r="I18" i="2" s="1"/>
  <c r="I44" i="3"/>
  <c r="G44" i="3"/>
  <c r="H44" i="3" s="1"/>
  <c r="I19" i="3"/>
  <c r="G19" i="3"/>
  <c r="H19" i="3" s="1"/>
  <c r="G19" i="2" l="1"/>
  <c r="F19" i="2" s="1"/>
  <c r="I19" i="2" s="1"/>
  <c r="I45" i="3"/>
  <c r="G45" i="3"/>
  <c r="H45" i="3" s="1"/>
  <c r="I20" i="3"/>
  <c r="G20" i="3"/>
  <c r="H20" i="3" s="1"/>
  <c r="G20" i="2" l="1"/>
  <c r="F20" i="2" s="1"/>
  <c r="I20" i="2" s="1"/>
  <c r="I46" i="3"/>
  <c r="G46" i="3"/>
  <c r="H46" i="3" s="1"/>
  <c r="I21" i="3"/>
  <c r="G21" i="3"/>
  <c r="H21" i="3" s="1"/>
  <c r="G21" i="2" l="1"/>
  <c r="F21" i="2" s="1"/>
  <c r="I21" i="2" s="1"/>
  <c r="I47" i="3"/>
  <c r="G47" i="3"/>
  <c r="H47" i="3" s="1"/>
  <c r="I22" i="3"/>
  <c r="G22" i="3"/>
  <c r="H22" i="3" s="1"/>
  <c r="G22" i="2" l="1"/>
  <c r="F22" i="2" s="1"/>
  <c r="I22" i="2" s="1"/>
  <c r="I48" i="3"/>
  <c r="G48" i="3"/>
  <c r="H48" i="3" s="1"/>
  <c r="I23" i="3"/>
  <c r="G23" i="3"/>
  <c r="H23" i="3" s="1"/>
  <c r="G23" i="2" l="1"/>
  <c r="F23" i="2" s="1"/>
  <c r="I23" i="2" s="1"/>
  <c r="I49" i="3"/>
  <c r="G49" i="3"/>
  <c r="H49" i="3" s="1"/>
  <c r="I24" i="3"/>
  <c r="G24" i="3"/>
  <c r="H24" i="3" s="1"/>
  <c r="G24" i="2" l="1"/>
  <c r="F24" i="2" s="1"/>
  <c r="I24" i="2" s="1"/>
  <c r="I50" i="3"/>
  <c r="G50" i="3"/>
  <c r="H50" i="3" s="1"/>
  <c r="I25" i="3"/>
  <c r="G25" i="3"/>
  <c r="H25" i="3" s="1"/>
  <c r="G25" i="2" l="1"/>
  <c r="F25" i="2" s="1"/>
  <c r="I25" i="2" s="1"/>
  <c r="I51" i="3"/>
  <c r="G51" i="3"/>
  <c r="H51" i="3" s="1"/>
  <c r="I26" i="3"/>
  <c r="G26" i="3"/>
  <c r="H26" i="3" s="1"/>
  <c r="G26" i="2" l="1"/>
  <c r="F26" i="2" s="1"/>
  <c r="I26" i="2" s="1"/>
  <c r="G52" i="3"/>
  <c r="H52" i="3" s="1"/>
  <c r="I52" i="3"/>
  <c r="I27" i="3"/>
  <c r="G27" i="3"/>
  <c r="H27" i="3" s="1"/>
  <c r="G27" i="2" l="1"/>
  <c r="F27" i="2" s="1"/>
  <c r="I27" i="2" s="1"/>
  <c r="I53" i="3"/>
  <c r="G53" i="3"/>
  <c r="H53" i="3" s="1"/>
  <c r="I28" i="3"/>
  <c r="G28" i="3"/>
  <c r="H28" i="3" s="1"/>
  <c r="C5" i="3" s="1"/>
  <c r="G28" i="2" l="1"/>
  <c r="F28" i="2" s="1"/>
  <c r="I28" i="2" s="1"/>
  <c r="I54" i="3"/>
  <c r="G54" i="3"/>
  <c r="H54" i="3" s="1"/>
  <c r="G29" i="2" l="1"/>
  <c r="F29" i="2" s="1"/>
  <c r="I29" i="2" s="1"/>
  <c r="G30" i="2" s="1"/>
  <c r="F30" i="2" s="1"/>
  <c r="I30" i="2" s="1"/>
  <c r="G31" i="2" s="1"/>
  <c r="F31" i="2" s="1"/>
  <c r="I31" i="2" s="1"/>
  <c r="I55" i="3"/>
  <c r="G55" i="3"/>
  <c r="H55" i="3" s="1"/>
  <c r="G32" i="2" l="1"/>
  <c r="F32" i="2" s="1"/>
  <c r="I32" i="2"/>
  <c r="G33" i="2" s="1"/>
  <c r="F33" i="2" s="1"/>
  <c r="I33" i="2" s="1"/>
  <c r="G34" i="2" s="1"/>
  <c r="F34" i="2" s="1"/>
  <c r="I34" i="2" s="1"/>
  <c r="G35" i="2" s="1"/>
  <c r="F35" i="2" s="1"/>
  <c r="I35" i="2" s="1"/>
  <c r="G36" i="2" s="1"/>
  <c r="F36" i="2" s="1"/>
  <c r="I36" i="2" s="1"/>
  <c r="I56" i="3"/>
  <c r="G56" i="3"/>
  <c r="H56" i="3" s="1"/>
  <c r="G37" i="2" l="1"/>
  <c r="F37" i="2" s="1"/>
  <c r="I37" i="2" s="1"/>
  <c r="G38" i="2" s="1"/>
  <c r="F38" i="2" s="1"/>
  <c r="I38" i="2" s="1"/>
  <c r="I57" i="3"/>
  <c r="G57" i="3"/>
  <c r="H57" i="3" s="1"/>
  <c r="G39" i="2" l="1"/>
  <c r="F39" i="2" s="1"/>
  <c r="I39" i="2" s="1"/>
  <c r="G40" i="2" s="1"/>
  <c r="F40" i="2" s="1"/>
  <c r="I40" i="2" s="1"/>
  <c r="I58" i="3"/>
  <c r="G58" i="3"/>
  <c r="H58" i="3" s="1"/>
  <c r="I59" i="3" l="1"/>
  <c r="G59" i="3"/>
  <c r="H59" i="3" s="1"/>
  <c r="I60" i="3" l="1"/>
  <c r="G60" i="3"/>
  <c r="H60" i="3" s="1"/>
  <c r="I61" i="3" l="1"/>
  <c r="G61" i="3"/>
  <c r="H61" i="3" s="1"/>
  <c r="I62" i="3" l="1"/>
  <c r="G62" i="3"/>
  <c r="H62" i="3" s="1"/>
  <c r="I63" i="3" l="1"/>
  <c r="G63" i="3"/>
  <c r="H63" i="3" s="1"/>
  <c r="G64" i="3" l="1"/>
  <c r="H64" i="3" s="1"/>
  <c r="I64" i="3"/>
  <c r="I65" i="3" l="1"/>
  <c r="G65" i="3"/>
  <c r="H65" i="3" s="1"/>
  <c r="I66" i="3" l="1"/>
  <c r="G66" i="3"/>
  <c r="H66" i="3" s="1"/>
  <c r="I67" i="3" l="1"/>
  <c r="G67" i="3"/>
  <c r="H67" i="3" s="1"/>
  <c r="G68" i="3" l="1"/>
  <c r="H68" i="3" s="1"/>
  <c r="I68" i="3"/>
  <c r="I69" i="3" l="1"/>
  <c r="G69" i="3"/>
  <c r="H69" i="3" s="1"/>
  <c r="I70" i="3" l="1"/>
  <c r="G70" i="3"/>
  <c r="H70" i="3" s="1"/>
  <c r="I71" i="3" l="1"/>
  <c r="G71" i="3"/>
  <c r="H71" i="3" s="1"/>
  <c r="G72" i="3" l="1"/>
  <c r="H72" i="3" s="1"/>
  <c r="I72" i="3"/>
  <c r="I73" i="3" l="1"/>
  <c r="G73" i="3"/>
  <c r="H73" i="3" s="1"/>
  <c r="I74" i="3" l="1"/>
  <c r="G74" i="3"/>
  <c r="H74" i="3" s="1"/>
  <c r="I75" i="3" l="1"/>
  <c r="G75" i="3"/>
  <c r="H75" i="3" s="1"/>
  <c r="I76" i="3" l="1"/>
  <c r="G76" i="3"/>
  <c r="H76" i="3" s="1"/>
  <c r="I77" i="3" l="1"/>
  <c r="G77" i="3"/>
  <c r="H77" i="3" s="1"/>
  <c r="I78" i="3" l="1"/>
  <c r="G78" i="3"/>
  <c r="H78" i="3" s="1"/>
  <c r="I79" i="3" l="1"/>
  <c r="G79" i="3"/>
  <c r="H79" i="3" s="1"/>
  <c r="G80" i="3" l="1"/>
  <c r="H80" i="3" s="1"/>
  <c r="I80" i="3"/>
  <c r="I81" i="3" l="1"/>
  <c r="G81" i="3"/>
  <c r="H81" i="3" s="1"/>
  <c r="I82" i="3" l="1"/>
  <c r="G82" i="3"/>
  <c r="H82" i="3" s="1"/>
  <c r="I83" i="3" l="1"/>
  <c r="G83" i="3"/>
  <c r="H83" i="3" s="1"/>
  <c r="G84" i="3" l="1"/>
  <c r="H84" i="3" s="1"/>
  <c r="I84" i="3"/>
  <c r="I85" i="3" l="1"/>
  <c r="G85" i="3"/>
  <c r="H85" i="3" s="1"/>
  <c r="I86" i="3" l="1"/>
  <c r="G86" i="3"/>
  <c r="H86" i="3" s="1"/>
  <c r="I87" i="3" l="1"/>
  <c r="G87" i="3"/>
  <c r="H87" i="3" s="1"/>
  <c r="G88" i="3" l="1"/>
  <c r="H88" i="3" s="1"/>
  <c r="I88" i="3"/>
  <c r="I89" i="3" l="1"/>
  <c r="G89" i="3"/>
  <c r="H89" i="3" s="1"/>
  <c r="I90" i="3" l="1"/>
  <c r="G90" i="3"/>
  <c r="H90" i="3" s="1"/>
  <c r="I91" i="3" l="1"/>
  <c r="G91" i="3"/>
  <c r="H91" i="3" s="1"/>
  <c r="I92" i="3" l="1"/>
  <c r="G92" i="3"/>
  <c r="H92" i="3" s="1"/>
  <c r="I93" i="3" l="1"/>
  <c r="G93" i="3"/>
  <c r="H93" i="3" s="1"/>
  <c r="I94" i="3" l="1"/>
  <c r="G94" i="3"/>
  <c r="H94" i="3" s="1"/>
  <c r="I95" i="3" l="1"/>
  <c r="G95" i="3"/>
  <c r="H95" i="3" s="1"/>
  <c r="G96" i="3" l="1"/>
  <c r="H96" i="3" s="1"/>
  <c r="I96" i="3"/>
  <c r="I97" i="3" l="1"/>
  <c r="G97" i="3"/>
  <c r="H97" i="3" s="1"/>
  <c r="I98" i="3" l="1"/>
  <c r="G98" i="3"/>
  <c r="H98" i="3" s="1"/>
  <c r="I99" i="3" l="1"/>
  <c r="G99" i="3"/>
  <c r="H99" i="3" s="1"/>
  <c r="G100" i="3" l="1"/>
  <c r="H100" i="3" s="1"/>
  <c r="I100" i="3"/>
  <c r="I101" i="3" l="1"/>
  <c r="G101" i="3"/>
  <c r="H101" i="3" s="1"/>
  <c r="I102" i="3" l="1"/>
  <c r="G102" i="3"/>
  <c r="H102" i="3" s="1"/>
  <c r="I103" i="3" l="1"/>
  <c r="G103" i="3"/>
  <c r="H103" i="3" s="1"/>
  <c r="G104" i="3" l="1"/>
  <c r="H104" i="3" s="1"/>
  <c r="I104" i="3"/>
  <c r="I105" i="3" l="1"/>
  <c r="G105" i="3"/>
  <c r="H105" i="3" s="1"/>
  <c r="I106" i="3" l="1"/>
  <c r="G106" i="3"/>
  <c r="H106" i="3" s="1"/>
  <c r="I107" i="3" l="1"/>
  <c r="G107" i="3"/>
  <c r="H107" i="3" s="1"/>
  <c r="I108" i="3" l="1"/>
  <c r="G108" i="3"/>
  <c r="H108" i="3" s="1"/>
  <c r="I109" i="3" l="1"/>
  <c r="G109" i="3"/>
  <c r="H109" i="3" s="1"/>
  <c r="I110" i="3" l="1"/>
  <c r="G110" i="3"/>
  <c r="H110" i="3" s="1"/>
  <c r="I111" i="3" l="1"/>
  <c r="G111" i="3"/>
  <c r="H111" i="3" s="1"/>
  <c r="G112" i="3" l="1"/>
  <c r="H112" i="3" s="1"/>
  <c r="I112" i="3"/>
  <c r="I113" i="3" l="1"/>
  <c r="G113" i="3"/>
  <c r="H113" i="3" s="1"/>
  <c r="I114" i="3" l="1"/>
  <c r="G114" i="3"/>
  <c r="H114" i="3" s="1"/>
  <c r="I115" i="3" l="1"/>
  <c r="G115" i="3"/>
  <c r="H115" i="3" s="1"/>
  <c r="G116" i="3" l="1"/>
  <c r="H116" i="3" s="1"/>
  <c r="I116" i="3"/>
  <c r="I117" i="3" l="1"/>
  <c r="G117" i="3"/>
  <c r="H117" i="3" s="1"/>
  <c r="I118" i="3" l="1"/>
  <c r="G118" i="3"/>
  <c r="H118" i="3" s="1"/>
  <c r="I119" i="3" l="1"/>
  <c r="G119" i="3"/>
  <c r="H119" i="3" s="1"/>
  <c r="G120" i="3" l="1"/>
  <c r="H120" i="3" s="1"/>
  <c r="I120" i="3"/>
  <c r="I121" i="3" l="1"/>
  <c r="G121" i="3"/>
  <c r="H121" i="3" s="1"/>
  <c r="I122" i="3" l="1"/>
  <c r="G122" i="3"/>
  <c r="H122" i="3" s="1"/>
  <c r="I123" i="3" l="1"/>
  <c r="G123" i="3"/>
  <c r="H123" i="3" s="1"/>
  <c r="I124" i="3" l="1"/>
  <c r="G124" i="3"/>
  <c r="H124" i="3" s="1"/>
  <c r="I125" i="3" l="1"/>
  <c r="G125" i="3"/>
  <c r="H125" i="3" s="1"/>
  <c r="I126" i="3" l="1"/>
  <c r="G126" i="3"/>
  <c r="H126" i="3" s="1"/>
  <c r="I127" i="3" l="1"/>
  <c r="G127" i="3"/>
  <c r="H127" i="3" s="1"/>
  <c r="G128" i="3" l="1"/>
  <c r="H128" i="3" s="1"/>
  <c r="I128" i="3"/>
  <c r="I129" i="3" l="1"/>
  <c r="G129" i="3"/>
  <c r="H129" i="3" s="1"/>
  <c r="I130" i="3" l="1"/>
  <c r="G130" i="3"/>
  <c r="H130" i="3" s="1"/>
  <c r="I131" i="3" l="1"/>
  <c r="G131" i="3"/>
  <c r="H131" i="3" s="1"/>
  <c r="G132" i="3" l="1"/>
  <c r="H132" i="3" s="1"/>
  <c r="I132" i="3"/>
  <c r="I133" i="3" l="1"/>
  <c r="G133" i="3"/>
  <c r="H133" i="3" s="1"/>
  <c r="I134" i="3" l="1"/>
  <c r="G134" i="3"/>
  <c r="H134" i="3" s="1"/>
  <c r="I135" i="3" l="1"/>
  <c r="G135" i="3"/>
  <c r="H135" i="3" s="1"/>
  <c r="G136" i="3" l="1"/>
  <c r="H136" i="3" s="1"/>
  <c r="I136" i="3"/>
  <c r="I137" i="3" l="1"/>
  <c r="G137" i="3"/>
  <c r="H137" i="3" s="1"/>
  <c r="I138" i="3" l="1"/>
  <c r="G138" i="3"/>
  <c r="H138" i="3" s="1"/>
  <c r="I139" i="3" l="1"/>
  <c r="G139" i="3"/>
  <c r="H139" i="3" s="1"/>
  <c r="I140" i="3" l="1"/>
  <c r="G140" i="3"/>
  <c r="H140" i="3" s="1"/>
  <c r="I141" i="3" l="1"/>
  <c r="G141" i="3"/>
  <c r="H141" i="3" s="1"/>
  <c r="I142" i="3" l="1"/>
  <c r="G142" i="3"/>
  <c r="H142" i="3" s="1"/>
  <c r="I143" i="3" l="1"/>
  <c r="G143" i="3"/>
  <c r="H143" i="3" s="1"/>
  <c r="G144" i="3" l="1"/>
  <c r="H144" i="3" s="1"/>
  <c r="I144" i="3"/>
  <c r="I145" i="3" l="1"/>
  <c r="G145" i="3"/>
  <c r="H145" i="3" s="1"/>
  <c r="I146" i="3" l="1"/>
  <c r="G146" i="3"/>
  <c r="H146" i="3" s="1"/>
  <c r="I147" i="3" l="1"/>
  <c r="G147" i="3"/>
  <c r="H147" i="3" s="1"/>
  <c r="G148" i="3" l="1"/>
  <c r="H148" i="3" s="1"/>
  <c r="I148" i="3"/>
  <c r="I149" i="3" l="1"/>
  <c r="G149" i="3"/>
  <c r="H149" i="3" s="1"/>
  <c r="I150" i="3" l="1"/>
  <c r="G150" i="3"/>
  <c r="H150" i="3" s="1"/>
  <c r="I151" i="3" l="1"/>
  <c r="G151" i="3"/>
  <c r="H151" i="3" s="1"/>
  <c r="G152" i="3" l="1"/>
  <c r="H152" i="3" s="1"/>
  <c r="I152" i="3"/>
  <c r="I153" i="3" l="1"/>
  <c r="G153" i="3"/>
  <c r="H153" i="3" s="1"/>
  <c r="I154" i="3" l="1"/>
  <c r="G154" i="3"/>
  <c r="H154" i="3" s="1"/>
  <c r="I155" i="3" l="1"/>
  <c r="G155" i="3"/>
  <c r="H155" i="3" s="1"/>
  <c r="I156" i="3" l="1"/>
  <c r="G156" i="3"/>
  <c r="H156" i="3" s="1"/>
  <c r="I157" i="3" l="1"/>
  <c r="G157" i="3"/>
  <c r="H157" i="3" s="1"/>
  <c r="I158" i="3" l="1"/>
  <c r="G158" i="3"/>
  <c r="H158" i="3" s="1"/>
  <c r="I159" i="3" l="1"/>
  <c r="G159" i="3"/>
  <c r="H159" i="3" s="1"/>
  <c r="G160" i="3" l="1"/>
  <c r="H160" i="3" s="1"/>
  <c r="I160" i="3"/>
  <c r="I161" i="3" l="1"/>
  <c r="G161" i="3"/>
  <c r="H161" i="3" s="1"/>
  <c r="I162" i="3" l="1"/>
  <c r="G162" i="3"/>
  <c r="H162" i="3" s="1"/>
  <c r="I163" i="3" l="1"/>
  <c r="G163" i="3"/>
  <c r="H163" i="3" s="1"/>
  <c r="G164" i="3" l="1"/>
  <c r="H164" i="3" s="1"/>
  <c r="I164" i="3"/>
  <c r="I165" i="3" l="1"/>
  <c r="G165" i="3"/>
  <c r="H165" i="3" s="1"/>
  <c r="I166" i="3" l="1"/>
  <c r="G166" i="3"/>
  <c r="H166" i="3" s="1"/>
  <c r="I167" i="3" l="1"/>
  <c r="G167" i="3"/>
  <c r="H167" i="3" s="1"/>
  <c r="G168" i="3" l="1"/>
  <c r="H168" i="3" s="1"/>
  <c r="I168" i="3"/>
  <c r="I169" i="3" l="1"/>
  <c r="G169" i="3"/>
  <c r="H169" i="3" s="1"/>
  <c r="I170" i="3" l="1"/>
  <c r="G170" i="3"/>
  <c r="H170" i="3" s="1"/>
  <c r="I171" i="3" l="1"/>
  <c r="G171" i="3"/>
  <c r="H171" i="3" s="1"/>
  <c r="I172" i="3" l="1"/>
  <c r="G172" i="3"/>
  <c r="H172" i="3" s="1"/>
  <c r="I173" i="3" l="1"/>
  <c r="G173" i="3"/>
  <c r="H173" i="3" s="1"/>
  <c r="I174" i="3" l="1"/>
  <c r="G174" i="3"/>
  <c r="H174" i="3" s="1"/>
  <c r="I175" i="3" l="1"/>
  <c r="G175" i="3"/>
  <c r="H175" i="3" s="1"/>
  <c r="G176" i="3" l="1"/>
  <c r="H176" i="3" s="1"/>
  <c r="I176" i="3"/>
  <c r="I177" i="3" l="1"/>
  <c r="G177" i="3"/>
  <c r="H177" i="3" s="1"/>
  <c r="I178" i="3" l="1"/>
  <c r="G178" i="3"/>
  <c r="H178" i="3" s="1"/>
  <c r="I179" i="3" l="1"/>
  <c r="G179" i="3"/>
  <c r="H179" i="3" s="1"/>
  <c r="G180" i="3" l="1"/>
  <c r="H180" i="3" s="1"/>
  <c r="I180" i="3"/>
  <c r="I181" i="3" l="1"/>
  <c r="G181" i="3"/>
  <c r="H181" i="3" s="1"/>
  <c r="I182" i="3" l="1"/>
  <c r="G182" i="3"/>
  <c r="H182" i="3" s="1"/>
  <c r="I183" i="3" l="1"/>
  <c r="G183" i="3"/>
  <c r="H183" i="3" s="1"/>
  <c r="G184" i="3" l="1"/>
  <c r="H184" i="3" s="1"/>
  <c r="I184" i="3"/>
</calcChain>
</file>

<file path=xl/sharedStrings.xml><?xml version="1.0" encoding="utf-8"?>
<sst xmlns="http://schemas.openxmlformats.org/spreadsheetml/2006/main" count="111" uniqueCount="36">
  <si>
    <t>Pretação</t>
  </si>
  <si>
    <t>Amortização</t>
  </si>
  <si>
    <t>Juros</t>
  </si>
  <si>
    <t>Parcela</t>
  </si>
  <si>
    <t>Saldo Devedor</t>
  </si>
  <si>
    <t>Valor</t>
  </si>
  <si>
    <t>Taxa Juros Anual</t>
  </si>
  <si>
    <t>Total Pago</t>
  </si>
  <si>
    <t>Taxa Juros Mensal</t>
  </si>
  <si>
    <t>FINANCIAMENTO IMOILIÁRIO</t>
  </si>
  <si>
    <t>Y</t>
  </si>
  <si>
    <t>T</t>
  </si>
  <si>
    <t>V</t>
  </si>
  <si>
    <t>Valor A</t>
  </si>
  <si>
    <t>Valor B</t>
  </si>
  <si>
    <t>Resultado</t>
  </si>
  <si>
    <t>Financiamento Veicular</t>
  </si>
  <si>
    <t>Corinthians</t>
  </si>
  <si>
    <t>Criciuma</t>
  </si>
  <si>
    <t>Flamengo</t>
  </si>
  <si>
    <t>Fluminense</t>
  </si>
  <si>
    <t>Vasco</t>
  </si>
  <si>
    <t>Criciúma</t>
  </si>
  <si>
    <t>CONFRONTOS</t>
  </si>
  <si>
    <t>x</t>
  </si>
  <si>
    <t>TABELA SÉRIE A BRASILEIRÃO 2024</t>
  </si>
  <si>
    <t>TIME</t>
  </si>
  <si>
    <t>Disponha seus Navios</t>
  </si>
  <si>
    <t>Jogo do Adversário</t>
  </si>
  <si>
    <t>Insira a Célula Desejada na CAIXA DE NOME ou use o MOUSE</t>
  </si>
  <si>
    <t>VITÓRIA</t>
  </si>
  <si>
    <t>JOGOS</t>
  </si>
  <si>
    <t>PONTOS</t>
  </si>
  <si>
    <t>GOLS CONTRA</t>
  </si>
  <si>
    <t>SALDO DE GOLS</t>
  </si>
  <si>
    <t>GOLS PRÓ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</si>
</sst>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R$-416]\ * #,##0.00_-;\-[$R$-416]\ * #,##0.00_-;_-[$R$-416]\ * &quot;-&quot;??_-;_-@_-"/>
    <numFmt numFmtId="165" formatCode="&quot;R$&quot;\ #,##0.00"/>
    <numFmt numFmtId="166" formatCode="0.000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1" fillId="0" borderId="8" xfId="0" applyNumberFormat="1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2" fillId="0" borderId="3" xfId="0" applyFon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2" fillId="0" borderId="6" xfId="0" applyFon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165" fontId="0" fillId="0" borderId="20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165" fontId="0" fillId="0" borderId="7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17" xfId="0" applyNumberFormat="1" applyFont="1" applyBorder="1" applyAlignment="1">
      <alignment horizontal="center"/>
    </xf>
    <xf numFmtId="165" fontId="0" fillId="0" borderId="18" xfId="0" applyNumberFormat="1" applyFont="1" applyBorder="1" applyAlignment="1">
      <alignment horizontal="center"/>
    </xf>
    <xf numFmtId="164" fontId="0" fillId="0" borderId="29" xfId="0" applyNumberFormat="1" applyFont="1" applyBorder="1" applyAlignment="1">
      <alignment horizontal="center"/>
    </xf>
    <xf numFmtId="165" fontId="0" fillId="0" borderId="24" xfId="0" applyNumberFormat="1" applyFont="1" applyBorder="1" applyAlignment="1">
      <alignment horizontal="center"/>
    </xf>
    <xf numFmtId="165" fontId="0" fillId="0" borderId="30" xfId="0" applyNumberFormat="1" applyFont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0" fontId="0" fillId="0" borderId="3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20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165" fontId="5" fillId="0" borderId="20" xfId="0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0" fontId="0" fillId="0" borderId="20" xfId="0" applyBorder="1"/>
    <xf numFmtId="166" fontId="0" fillId="0" borderId="6" xfId="0" applyNumberFormat="1" applyBorder="1" applyAlignment="1">
      <alignment horizontal="center"/>
    </xf>
    <xf numFmtId="166" fontId="0" fillId="0" borderId="16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right"/>
    </xf>
    <xf numFmtId="0" fontId="2" fillId="0" borderId="19" xfId="0" applyFont="1" applyBorder="1" applyAlignment="1">
      <alignment horizontal="right"/>
    </xf>
    <xf numFmtId="0" fontId="2" fillId="0" borderId="20" xfId="0" applyFont="1" applyBorder="1" applyAlignment="1">
      <alignment horizontal="left"/>
    </xf>
    <xf numFmtId="0" fontId="2" fillId="0" borderId="6" xfId="0" applyFont="1" applyBorder="1" applyAlignment="1">
      <alignment horizontal="right"/>
    </xf>
    <xf numFmtId="0" fontId="2" fillId="0" borderId="8" xfId="0" applyFont="1" applyBorder="1" applyAlignment="1">
      <alignment horizontal="left"/>
    </xf>
    <xf numFmtId="0" fontId="2" fillId="0" borderId="16" xfId="0" applyFont="1" applyBorder="1" applyAlignment="1">
      <alignment horizontal="right"/>
    </xf>
    <xf numFmtId="0" fontId="0" fillId="0" borderId="17" xfId="0" applyBorder="1"/>
    <xf numFmtId="0" fontId="2" fillId="0" borderId="18" xfId="0" applyFont="1" applyBorder="1" applyAlignment="1">
      <alignment horizontal="left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/>
    <xf numFmtId="0" fontId="9" fillId="0" borderId="0" xfId="0" applyFont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1" xfId="0" applyFill="1" applyBorder="1"/>
    <xf numFmtId="0" fontId="0" fillId="2" borderId="1" xfId="0" applyFill="1" applyBorder="1"/>
    <xf numFmtId="0" fontId="2" fillId="0" borderId="20" xfId="0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Frequência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'Exercício 5'!$C$3:$C$202</c:f>
              <c:numCache>
                <c:formatCode>General</c:formatCode>
                <c:ptCount val="200"/>
                <c:pt idx="0">
                  <c:v>10.350341085185047</c:v>
                </c:pt>
                <c:pt idx="1">
                  <c:v>8.4781019235762862</c:v>
                </c:pt>
                <c:pt idx="2">
                  <c:v>5.6044310355382292</c:v>
                </c:pt>
                <c:pt idx="3">
                  <c:v>2.0687658593723497</c:v>
                </c:pt>
                <c:pt idx="4">
                  <c:v>-1.711261531921902</c:v>
                </c:pt>
                <c:pt idx="5">
                  <c:v>-5.2891550487083459</c:v>
                </c:pt>
                <c:pt idx="6">
                  <c:v>-8.2422946147253509</c:v>
                </c:pt>
                <c:pt idx="7">
                  <c:v>-10.221855967108251</c:v>
                </c:pt>
                <c:pt idx="8">
                  <c:v>-10.99401370949364</c:v>
                </c:pt>
                <c:pt idx="9">
                  <c:v>-10.467560721702601</c:v>
                </c:pt>
                <c:pt idx="10">
                  <c:v>-8.7046815267804813</c:v>
                </c:pt>
                <c:pt idx="11">
                  <c:v>-5.9136070674041852</c:v>
                </c:pt>
                <c:pt idx="12">
                  <c:v>-2.4240185080184675</c:v>
                </c:pt>
                <c:pt idx="13">
                  <c:v>1.3518946392600935</c:v>
                </c:pt>
                <c:pt idx="14">
                  <c:v>4.9681222584866873</c:v>
                </c:pt>
                <c:pt idx="15">
                  <c:v>7.9975162567830127</c:v>
                </c:pt>
                <c:pt idx="16">
                  <c:v>10.08224521278904</c:v>
                </c:pt>
                <c:pt idx="17">
                  <c:v>10.976061353551655</c:v>
                </c:pt>
                <c:pt idx="18">
                  <c:v>10.573387292879596</c:v>
                </c:pt>
                <c:pt idx="19">
                  <c:v>8.9217868113692873</c:v>
                </c:pt>
                <c:pt idx="20">
                  <c:v>6.2163466320254219</c:v>
                </c:pt>
                <c:pt idx="21">
                  <c:v>2.7766328150315247</c:v>
                </c:pt>
                <c:pt idx="22">
                  <c:v>-0.99105632222654871</c:v>
                </c:pt>
                <c:pt idx="23">
                  <c:v>-4.6416820822449587</c:v>
                </c:pt>
                <c:pt idx="24">
                  <c:v>-7.7440332705420385</c:v>
                </c:pt>
                <c:pt idx="25">
                  <c:v>-9.9316607768698049</c:v>
                </c:pt>
                <c:pt idx="26">
                  <c:v>-10.946162471813672</c:v>
                </c:pt>
                <c:pt idx="27">
                  <c:v>-10.667705615334512</c:v>
                </c:pt>
                <c:pt idx="28">
                  <c:v>-9.1291814763783297</c:v>
                </c:pt>
                <c:pt idx="29">
                  <c:v>-6.5123202226780244</c:v>
                </c:pt>
                <c:pt idx="30">
                  <c:v>-3.1262249891972691</c:v>
                </c:pt>
                <c:pt idx="31">
                  <c:v>0.62913932318337507</c:v>
                </c:pt>
                <c:pt idx="32">
                  <c:v>4.3101898228427595</c:v>
                </c:pt>
                <c:pt idx="33">
                  <c:v>7.4821215510559096</c:v>
                </c:pt>
                <c:pt idx="34">
                  <c:v>9.7702665579285792</c:v>
                </c:pt>
                <c:pt idx="35">
                  <c:v>10.904349606714577</c:v>
                </c:pt>
                <c:pt idx="36">
                  <c:v>10.750413031453109</c:v>
                </c:pt>
                <c:pt idx="37">
                  <c:v>9.3266397900414049</c:v>
                </c:pt>
                <c:pt idx="38">
                  <c:v>6.8012056968354546</c:v>
                </c:pt>
                <c:pt idx="39">
                  <c:v>3.472414528640535</c:v>
                </c:pt>
                <c:pt idx="40">
                  <c:v>-0.26653755854789024</c:v>
                </c:pt>
                <c:pt idx="41">
                  <c:v>-3.9740062819102158</c:v>
                </c:pt>
                <c:pt idx="42">
                  <c:v>-7.2120661673500361</c:v>
                </c:pt>
                <c:pt idx="43">
                  <c:v>-9.5982382200891116</c:v>
                </c:pt>
                <c:pt idx="44">
                  <c:v>-10.85066826806481</c:v>
                </c:pt>
                <c:pt idx="45">
                  <c:v>-10.821419521122689</c:v>
                </c:pt>
                <c:pt idx="46">
                  <c:v>-9.513946835480585</c:v>
                </c:pt>
                <c:pt idx="47">
                  <c:v>-7.0826886267938374</c:v>
                </c:pt>
                <c:pt idx="48">
                  <c:v>-3.814824634969793</c:v>
                </c:pt>
                <c:pt idx="49">
                  <c:v>-9.6354309952361217E-2</c:v>
                </c:pt>
                <c:pt idx="50">
                  <c:v>3.6334973671453237</c:v>
                </c:pt>
                <c:pt idx="51">
                  <c:v>6.9341610521480224</c:v>
                </c:pt>
                <c:pt idx="52">
                  <c:v>9.4157630018251517</c:v>
                </c:pt>
                <c:pt idx="53">
                  <c:v>10.785176883516723</c:v>
                </c:pt>
                <c:pt idx="54">
                  <c:v>10.88064779971142</c:v>
                </c:pt>
                <c:pt idx="55">
                  <c:v>9.6908987446253647</c:v>
                </c:pt>
                <c:pt idx="56">
                  <c:v>7.3564626419002188</c:v>
                </c:pt>
                <c:pt idx="57">
                  <c:v>4.1530826233907687</c:v>
                </c:pt>
                <c:pt idx="58">
                  <c:v>0.45914130483606319</c:v>
                </c:pt>
                <c:pt idx="59">
                  <c:v>-3.2890336940543365</c:v>
                </c:pt>
                <c:pt idx="60">
                  <c:v>-6.6487086819503487</c:v>
                </c:pt>
                <c:pt idx="61">
                  <c:v>-9.2230395121670057</c:v>
                </c:pt>
                <c:pt idx="62">
                  <c:v>-10.707946734970955</c:v>
                </c:pt>
                <c:pt idx="63">
                  <c:v>-10.928033402186248</c:v>
                </c:pt>
                <c:pt idx="64">
                  <c:v>-9.8573029201059352</c:v>
                </c:pt>
                <c:pt idx="65">
                  <c:v>-7.6222297620114006</c:v>
                </c:pt>
                <c:pt idx="66">
                  <c:v>-4.4868203283425574</c:v>
                </c:pt>
                <c:pt idx="67">
                  <c:v>-0.82142856276812815</c:v>
                </c:pt>
                <c:pt idx="68">
                  <c:v>2.9409901825673828</c:v>
                </c:pt>
                <c:pt idx="69">
                  <c:v>6.3560197478141029</c:v>
                </c:pt>
                <c:pt idx="70">
                  <c:v>9.0202775145322285</c:v>
                </c:pt>
                <c:pt idx="71">
                  <c:v>10.619061880992064</c:v>
                </c:pt>
                <c:pt idx="72">
                  <c:v>10.963524753277682</c:v>
                </c:pt>
                <c:pt idx="73">
                  <c:v>10.012978244879424</c:v>
                </c:pt>
                <c:pt idx="74">
                  <c:v>7.8797007218204387</c:v>
                </c:pt>
                <c:pt idx="75">
                  <c:v>4.815674504215198</c:v>
                </c:pt>
                <c:pt idx="76">
                  <c:v>1.1828217643352927</c:v>
                </c:pt>
                <c:pt idx="77">
                  <c:v>-2.5897456489696276</c:v>
                </c:pt>
                <c:pt idx="78">
                  <c:v>-6.0564128171915712</c:v>
                </c:pt>
                <c:pt idx="79">
                  <c:v>-8.8076976984156587</c:v>
                </c:pt>
                <c:pt idx="80">
                  <c:v>-10.518619065317782</c:v>
                </c:pt>
                <c:pt idx="81">
                  <c:v>-10.987083223615151</c:v>
                </c:pt>
                <c:pt idx="82">
                  <c:v>-10.157755279360618</c:v>
                </c:pt>
                <c:pt idx="83">
                  <c:v>-8.1285952856978447</c:v>
                </c:pt>
                <c:pt idx="84">
                  <c:v>-5.139287220712113</c:v>
                </c:pt>
                <c:pt idx="85">
                  <c:v>-1.5429275632299924</c:v>
                </c:pt>
                <c:pt idx="86">
                  <c:v>2.2356823935914512</c:v>
                </c:pt>
                <c:pt idx="87">
                  <c:v>5.7502139871962532</c:v>
                </c:pt>
                <c:pt idx="88">
                  <c:v>8.5855314391872888</c:v>
                </c:pt>
                <c:pt idx="89">
                  <c:v>10.406727611561562</c:v>
                </c:pt>
                <c:pt idx="90">
                  <c:v>10.998683171771871</c:v>
                </c:pt>
                <c:pt idx="91">
                  <c:v>10.291476445842763</c:v>
                </c:pt>
                <c:pt idx="92">
                  <c:v>8.3686425527045802</c:v>
                </c:pt>
                <c:pt idx="93">
                  <c:v>5.4573062524274611</c:v>
                </c:pt>
                <c:pt idx="94">
                  <c:v>1.9013540143749164</c:v>
                </c:pt>
                <c:pt idx="95">
                  <c:v>-1.8791857847064051</c:v>
                </c:pt>
                <c:pt idx="96">
                  <c:v>-5.4377565296734618</c:v>
                </c:pt>
                <c:pt idx="97">
                  <c:v>-8.3540205462595605</c:v>
                </c:pt>
                <c:pt idx="98">
                  <c:v>-10.283509304222912</c:v>
                </c:pt>
                <c:pt idx="99">
                  <c:v>-10.998311972173383</c:v>
                </c:pt>
                <c:pt idx="100">
                  <c:v>-10.413996200007784</c:v>
                </c:pt>
                <c:pt idx="101">
                  <c:v>-8.5995812514450911</c:v>
                </c:pt>
                <c:pt idx="102">
                  <c:v>-5.7693854622138288</c:v>
                </c:pt>
                <c:pt idx="103">
                  <c:v>-2.2577110005224412</c:v>
                </c:pt>
                <c:pt idx="104">
                  <c:v>1.5206438390899641</c:v>
                </c:pt>
                <c:pt idx="105">
                  <c:v>5.1193805284617078</c:v>
                </c:pt>
                <c:pt idx="106">
                  <c:v>8.1134169998979608</c:v>
                </c:pt>
                <c:pt idx="107">
                  <c:v>10.149098256135185</c:v>
                </c:pt>
                <c:pt idx="108">
                  <c:v>10.985970028839439</c:v>
                </c:pt>
                <c:pt idx="109">
                  <c:v>10.525181189339087</c:v>
                </c:pt>
                <c:pt idx="110">
                  <c:v>8.8211600244393331</c:v>
                </c:pt>
                <c:pt idx="111">
                  <c:v>6.0751851779239008</c:v>
                </c:pt>
                <c:pt idx="112">
                  <c:v>2.6116106568647792</c:v>
                </c:pt>
                <c:pt idx="113">
                  <c:v>-1.1604467996957182</c:v>
                </c:pt>
                <c:pt idx="114">
                  <c:v>-4.7954325092397063</c:v>
                </c:pt>
                <c:pt idx="115">
                  <c:v>-7.8639826769617542</c:v>
                </c:pt>
                <c:pt idx="116">
                  <c:v>-10.003640762494912</c:v>
                </c:pt>
                <c:pt idx="117">
                  <c:v>-10.961670774944261</c:v>
                </c:pt>
                <c:pt idx="118">
                  <c:v>-10.624910398264671</c:v>
                </c:pt>
                <c:pt idx="119">
                  <c:v>-9.0331377017045966</c:v>
                </c:pt>
                <c:pt idx="120">
                  <c:v>-6.3743725621148197</c:v>
                </c:pt>
                <c:pt idx="121">
                  <c:v>-2.9626677931923737</c:v>
                </c:pt>
                <c:pt idx="122">
                  <c:v>0.79898671090879436</c:v>
                </c:pt>
                <c:pt idx="123">
                  <c:v>4.4662650623625115</c:v>
                </c:pt>
                <c:pt idx="124">
                  <c:v>7.6059890658725875</c:v>
                </c:pt>
                <c:pt idx="125">
                  <c:v>9.8472951416318431</c:v>
                </c:pt>
                <c:pt idx="126">
                  <c:v>10.92544065819564</c:v>
                </c:pt>
                <c:pt idx="127">
                  <c:v>10.713075279872426</c:v>
                </c:pt>
                <c:pt idx="128">
                  <c:v>9.2352835632487071</c:v>
                </c:pt>
                <c:pt idx="129">
                  <c:v>6.6666219743143591</c:v>
                </c:pt>
                <c:pt idx="130">
                  <c:v>3.3105003131410049</c:v>
                </c:pt>
                <c:pt idx="131">
                  <c:v>-0.43665699183775242</c:v>
                </c:pt>
                <c:pt idx="132">
                  <c:v>-4.1322364590959149</c:v>
                </c:pt>
                <c:pt idx="133">
                  <c:v>-7.339716971122181</c:v>
                </c:pt>
                <c:pt idx="134">
                  <c:v>-9.6802315626924322</c:v>
                </c:pt>
                <c:pt idx="135">
                  <c:v>-10.877319112048852</c:v>
                </c:pt>
                <c:pt idx="136">
                  <c:v>-10.789579874054413</c:v>
                </c:pt>
                <c:pt idx="137">
                  <c:v>-9.4273775901895043</c:v>
                </c:pt>
                <c:pt idx="138">
                  <c:v>-6.951615325453111</c:v>
                </c:pt>
                <c:pt idx="139">
                  <c:v>-3.6547296300722083</c:v>
                </c:pt>
                <c:pt idx="140">
                  <c:v>7.3852008111374989E-2</c:v>
                </c:pt>
                <c:pt idx="141">
                  <c:v>3.793710261668314</c:v>
                </c:pt>
                <c:pt idx="142">
                  <c:v>7.0654562076402669</c:v>
                </c:pt>
                <c:pt idx="143">
                  <c:v>9.5026318604252182</c:v>
                </c:pt>
                <c:pt idx="144">
                  <c:v>10.817358512786591</c:v>
                </c:pt>
                <c:pt idx="145">
                  <c:v>10.854340911951352</c:v>
                </c:pt>
                <c:pt idx="146">
                  <c:v>9.6092107042270634</c:v>
                </c:pt>
                <c:pt idx="147">
                  <c:v>7.2290424240779316</c:v>
                </c:pt>
                <c:pt idx="148">
                  <c:v>3.9949810791328995</c:v>
                </c:pt>
                <c:pt idx="149">
                  <c:v>0.28903335735591751</c:v>
                </c:pt>
                <c:pt idx="150">
                  <c:v>-3.4510549275638214</c:v>
                </c:pt>
                <c:pt idx="151">
                  <c:v>-6.7835052853548552</c:v>
                </c:pt>
                <c:pt idx="152">
                  <c:v>-9.3146893372686428</c:v>
                </c:pt>
                <c:pt idx="153">
                  <c:v>-10.745624122511771</c:v>
                </c:pt>
                <c:pt idx="154">
                  <c:v>-10.907287906583937</c:v>
                </c:pt>
                <c:pt idx="155">
                  <c:v>-9.7805849952077981</c:v>
                </c:pt>
                <c:pt idx="156">
                  <c:v>-7.4986013139694778</c:v>
                </c:pt>
                <c:pt idx="157">
                  <c:v>-4.3308843250468456</c:v>
                </c:pt>
                <c:pt idx="158">
                  <c:v>-0.65160413416081708</c:v>
                </c:pt>
                <c:pt idx="159">
                  <c:v>3.1046434084866381</c:v>
                </c:pt>
                <c:pt idx="160">
                  <c:v>6.494171084289647</c:v>
                </c:pt>
                <c:pt idx="161">
                  <c:v>9.1166085529575902</c:v>
                </c:pt>
                <c:pt idx="162">
                  <c:v>10.662194018115239</c:v>
                </c:pt>
                <c:pt idx="163">
                  <c:v>10.948363229571909</c:v>
                </c:pt>
                <c:pt idx="164">
                  <c:v>9.9413139365333567</c:v>
                </c:pt>
                <c:pt idx="165">
                  <c:v>7.7599986027960934</c:v>
                </c:pt>
                <c:pt idx="166">
                  <c:v>4.6620737651937398</c:v>
                </c:pt>
                <c:pt idx="167">
                  <c:v>1.0134656943034928</c:v>
                </c:pt>
                <c:pt idx="168">
                  <c:v>-2.7548527444344959</c:v>
                </c:pt>
                <c:pt idx="169">
                  <c:v>-6.1977685205500297</c:v>
                </c:pt>
                <c:pt idx="170">
                  <c:v>-8.9086051018773951</c:v>
                </c:pt>
                <c:pt idx="171">
                  <c:v>-10.567159006295483</c:v>
                </c:pt>
                <c:pt idx="172">
                  <c:v>-10.977522173857812</c:v>
                </c:pt>
                <c:pt idx="173">
                  <c:v>-10.091222588179127</c:v>
                </c:pt>
                <c:pt idx="174">
                  <c:v>-8.0129497814472579</c:v>
                </c:pt>
                <c:pt idx="175">
                  <c:v>-4.9881889275368314</c:v>
                </c:pt>
                <c:pt idx="176">
                  <c:v>-1.3742241817072767</c:v>
                </c:pt>
                <c:pt idx="177">
                  <c:v>2.4020636533224278</c:v>
                </c:pt>
                <c:pt idx="178">
                  <c:v>5.8946202035640134</c:v>
                </c:pt>
                <c:pt idx="179">
                  <c:v>8.6909053784068764</c:v>
                </c:pt>
                <c:pt idx="180">
                  <c:v>10.460622524723302</c:v>
                </c:pt>
                <c:pt idx="181">
                  <c:v>10.994733002366862</c:v>
                </c:pt>
                <c:pt idx="182">
                  <c:v>10.230147787101741</c:v>
                </c:pt>
                <c:pt idx="183">
                  <c:v>8.257179533697526</c:v>
                </c:pt>
                <c:pt idx="184">
                  <c:v>5.308874862967043</c:v>
                </c:pt>
                <c:pt idx="185">
                  <c:v>1.7334869408977895</c:v>
                </c:pt>
                <c:pt idx="186">
                  <c:v>-2.046660116602288</c:v>
                </c:pt>
                <c:pt idx="187">
                  <c:v>-5.5850560849483886</c:v>
                </c:pt>
                <c:pt idx="188">
                  <c:v>-8.4637463305075489</c:v>
                </c:pt>
                <c:pt idx="189">
                  <c:v>-10.342700529458252</c:v>
                </c:pt>
                <c:pt idx="190">
                  <c:v>-10.999976982550082</c:v>
                </c:pt>
                <c:pt idx="191">
                  <c:v>-10.357938324828613</c:v>
                </c:pt>
                <c:pt idx="192">
                  <c:v>-8.4924220358656353</c:v>
                </c:pt>
                <c:pt idx="193">
                  <c:v>-5.6237825316352055</c:v>
                </c:pt>
                <c:pt idx="194">
                  <c:v>-2.0908629443761622</c:v>
                </c:pt>
                <c:pt idx="195">
                  <c:v>1.6890289613321632</c:v>
                </c:pt>
                <c:pt idx="196">
                  <c:v>5.2694130993838222</c:v>
                </c:pt>
                <c:pt idx="197">
                  <c:v>8.2273752018253106</c:v>
                </c:pt>
                <c:pt idx="198">
                  <c:v>10.213521368740624</c:v>
                </c:pt>
                <c:pt idx="199">
                  <c:v>10.993248406773157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05-455F-AC90-203E03FBE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634303"/>
        <c:axId val="1405613503"/>
      </c:lineChart>
      <c:catAx>
        <c:axId val="140563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5613503"/>
        <c:crosses val="autoZero"/>
        <c:auto val="1"/>
        <c:lblAlgn val="ctr"/>
        <c:lblOffset val="100"/>
        <c:noMultiLvlLbl val="0"/>
      </c:catAx>
      <c:valAx>
        <c:axId val="140561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5634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Carga</a:t>
            </a:r>
            <a:r>
              <a:rPr lang="pt-BR" baseline="0"/>
              <a:t> de um Capacitor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'Exercício 6'!$C$3:$C$1002</c:f>
              <c:numCache>
                <c:formatCode>General</c:formatCode>
                <c:ptCount val="1000"/>
                <c:pt idx="0">
                  <c:v>10.9725</c:v>
                </c:pt>
                <c:pt idx="1">
                  <c:v>10.945</c:v>
                </c:pt>
                <c:pt idx="2">
                  <c:v>10.9175</c:v>
                </c:pt>
                <c:pt idx="3">
                  <c:v>10.89</c:v>
                </c:pt>
                <c:pt idx="4">
                  <c:v>10.862500000000001</c:v>
                </c:pt>
                <c:pt idx="5">
                  <c:v>10.834999999999999</c:v>
                </c:pt>
                <c:pt idx="6">
                  <c:v>10.807500000000001</c:v>
                </c:pt>
                <c:pt idx="7">
                  <c:v>10.78</c:v>
                </c:pt>
                <c:pt idx="8">
                  <c:v>10.752500000000001</c:v>
                </c:pt>
                <c:pt idx="9">
                  <c:v>10.725</c:v>
                </c:pt>
                <c:pt idx="10">
                  <c:v>10.6975</c:v>
                </c:pt>
                <c:pt idx="11">
                  <c:v>10.67</c:v>
                </c:pt>
                <c:pt idx="12">
                  <c:v>10.6425</c:v>
                </c:pt>
                <c:pt idx="13">
                  <c:v>10.615</c:v>
                </c:pt>
                <c:pt idx="14">
                  <c:v>10.5875</c:v>
                </c:pt>
                <c:pt idx="15">
                  <c:v>10.559999999999999</c:v>
                </c:pt>
                <c:pt idx="16">
                  <c:v>10.532500000000001</c:v>
                </c:pt>
                <c:pt idx="17">
                  <c:v>10.504999999999999</c:v>
                </c:pt>
                <c:pt idx="18">
                  <c:v>10.477500000000001</c:v>
                </c:pt>
                <c:pt idx="19">
                  <c:v>10.45</c:v>
                </c:pt>
                <c:pt idx="20">
                  <c:v>10.422499999999999</c:v>
                </c:pt>
                <c:pt idx="21">
                  <c:v>10.395</c:v>
                </c:pt>
                <c:pt idx="22">
                  <c:v>10.3675</c:v>
                </c:pt>
                <c:pt idx="23">
                  <c:v>10.34</c:v>
                </c:pt>
                <c:pt idx="24">
                  <c:v>10.3125</c:v>
                </c:pt>
                <c:pt idx="25">
                  <c:v>10.285</c:v>
                </c:pt>
                <c:pt idx="26">
                  <c:v>10.2575</c:v>
                </c:pt>
                <c:pt idx="27">
                  <c:v>10.229999999999999</c:v>
                </c:pt>
                <c:pt idx="28">
                  <c:v>10.202500000000001</c:v>
                </c:pt>
                <c:pt idx="29">
                  <c:v>10.175000000000001</c:v>
                </c:pt>
                <c:pt idx="30">
                  <c:v>10.147499999999999</c:v>
                </c:pt>
                <c:pt idx="31">
                  <c:v>10.120000000000001</c:v>
                </c:pt>
                <c:pt idx="32">
                  <c:v>10.092499999999999</c:v>
                </c:pt>
                <c:pt idx="33">
                  <c:v>10.065000000000001</c:v>
                </c:pt>
                <c:pt idx="34">
                  <c:v>10.0375</c:v>
                </c:pt>
                <c:pt idx="35">
                  <c:v>10.01</c:v>
                </c:pt>
                <c:pt idx="36">
                  <c:v>9.9824999999999999</c:v>
                </c:pt>
                <c:pt idx="37">
                  <c:v>9.9550000000000001</c:v>
                </c:pt>
                <c:pt idx="38">
                  <c:v>9.9275000000000002</c:v>
                </c:pt>
                <c:pt idx="39">
                  <c:v>9.9</c:v>
                </c:pt>
                <c:pt idx="40">
                  <c:v>9.8724999999999987</c:v>
                </c:pt>
                <c:pt idx="41">
                  <c:v>9.8450000000000006</c:v>
                </c:pt>
                <c:pt idx="42">
                  <c:v>9.817499999999999</c:v>
                </c:pt>
                <c:pt idx="43">
                  <c:v>9.7900000000000009</c:v>
                </c:pt>
                <c:pt idx="44">
                  <c:v>9.7624999999999993</c:v>
                </c:pt>
                <c:pt idx="45">
                  <c:v>9.7349999999999994</c:v>
                </c:pt>
                <c:pt idx="46">
                  <c:v>9.7075000000000014</c:v>
                </c:pt>
                <c:pt idx="47">
                  <c:v>9.68</c:v>
                </c:pt>
                <c:pt idx="48">
                  <c:v>9.6524999999999999</c:v>
                </c:pt>
                <c:pt idx="49">
                  <c:v>9.625</c:v>
                </c:pt>
                <c:pt idx="50">
                  <c:v>9.5975000000000001</c:v>
                </c:pt>
                <c:pt idx="51">
                  <c:v>9.57</c:v>
                </c:pt>
                <c:pt idx="52">
                  <c:v>9.5424999999999986</c:v>
                </c:pt>
                <c:pt idx="53">
                  <c:v>9.5150000000000006</c:v>
                </c:pt>
                <c:pt idx="54">
                  <c:v>9.4875000000000007</c:v>
                </c:pt>
                <c:pt idx="55">
                  <c:v>9.4599999999999991</c:v>
                </c:pt>
                <c:pt idx="56">
                  <c:v>9.432500000000001</c:v>
                </c:pt>
                <c:pt idx="57">
                  <c:v>9.4049999999999994</c:v>
                </c:pt>
                <c:pt idx="58">
                  <c:v>9.3775000000000013</c:v>
                </c:pt>
                <c:pt idx="59">
                  <c:v>9.35</c:v>
                </c:pt>
                <c:pt idx="60">
                  <c:v>9.3224999999999998</c:v>
                </c:pt>
                <c:pt idx="61">
                  <c:v>9.2949999999999999</c:v>
                </c:pt>
                <c:pt idx="62">
                  <c:v>9.2675000000000001</c:v>
                </c:pt>
                <c:pt idx="63">
                  <c:v>9.24</c:v>
                </c:pt>
                <c:pt idx="64">
                  <c:v>9.2125000000000004</c:v>
                </c:pt>
                <c:pt idx="65">
                  <c:v>9.1849999999999987</c:v>
                </c:pt>
                <c:pt idx="66">
                  <c:v>9.1575000000000006</c:v>
                </c:pt>
                <c:pt idx="67">
                  <c:v>9.129999999999999</c:v>
                </c:pt>
                <c:pt idx="68">
                  <c:v>9.1025000000000009</c:v>
                </c:pt>
                <c:pt idx="69">
                  <c:v>9.0749999999999993</c:v>
                </c:pt>
                <c:pt idx="70">
                  <c:v>9.0474999999999994</c:v>
                </c:pt>
                <c:pt idx="71">
                  <c:v>9.0200000000000014</c:v>
                </c:pt>
                <c:pt idx="72">
                  <c:v>8.9924999999999997</c:v>
                </c:pt>
                <c:pt idx="73">
                  <c:v>8.9649999999999999</c:v>
                </c:pt>
                <c:pt idx="74">
                  <c:v>8.9375</c:v>
                </c:pt>
                <c:pt idx="75">
                  <c:v>8.91</c:v>
                </c:pt>
                <c:pt idx="76">
                  <c:v>8.8825000000000003</c:v>
                </c:pt>
                <c:pt idx="77">
                  <c:v>8.8549999999999986</c:v>
                </c:pt>
                <c:pt idx="78">
                  <c:v>8.8275000000000006</c:v>
                </c:pt>
                <c:pt idx="79">
                  <c:v>8.8000000000000007</c:v>
                </c:pt>
                <c:pt idx="80">
                  <c:v>8.7724999999999991</c:v>
                </c:pt>
                <c:pt idx="81">
                  <c:v>8.745000000000001</c:v>
                </c:pt>
                <c:pt idx="82">
                  <c:v>8.7174999999999994</c:v>
                </c:pt>
                <c:pt idx="83">
                  <c:v>8.6900000000000013</c:v>
                </c:pt>
                <c:pt idx="84">
                  <c:v>8.6624999999999996</c:v>
                </c:pt>
                <c:pt idx="85">
                  <c:v>8.6349999999999998</c:v>
                </c:pt>
                <c:pt idx="86">
                  <c:v>8.6074999999999999</c:v>
                </c:pt>
                <c:pt idx="87">
                  <c:v>8.58</c:v>
                </c:pt>
                <c:pt idx="88">
                  <c:v>8.5525000000000002</c:v>
                </c:pt>
                <c:pt idx="89">
                  <c:v>8.5250000000000004</c:v>
                </c:pt>
                <c:pt idx="90">
                  <c:v>8.4974999999999987</c:v>
                </c:pt>
                <c:pt idx="91">
                  <c:v>8.4700000000000006</c:v>
                </c:pt>
                <c:pt idx="92">
                  <c:v>8.442499999999999</c:v>
                </c:pt>
                <c:pt idx="93">
                  <c:v>8.4150000000000009</c:v>
                </c:pt>
                <c:pt idx="94">
                  <c:v>8.3874999999999993</c:v>
                </c:pt>
                <c:pt idx="95">
                  <c:v>8.36</c:v>
                </c:pt>
                <c:pt idx="96">
                  <c:v>8.3325000000000014</c:v>
                </c:pt>
                <c:pt idx="97">
                  <c:v>8.3049999999999997</c:v>
                </c:pt>
                <c:pt idx="98">
                  <c:v>8.2774999999999999</c:v>
                </c:pt>
                <c:pt idx="99">
                  <c:v>8.25</c:v>
                </c:pt>
                <c:pt idx="100">
                  <c:v>8.2225000000000001</c:v>
                </c:pt>
                <c:pt idx="101">
                  <c:v>8.1950000000000003</c:v>
                </c:pt>
                <c:pt idx="102">
                  <c:v>8.1674999999999986</c:v>
                </c:pt>
                <c:pt idx="103">
                  <c:v>8.14</c:v>
                </c:pt>
                <c:pt idx="104">
                  <c:v>8.1125000000000007</c:v>
                </c:pt>
                <c:pt idx="105">
                  <c:v>8.0849999999999991</c:v>
                </c:pt>
                <c:pt idx="106">
                  <c:v>8.0574999999999992</c:v>
                </c:pt>
                <c:pt idx="107">
                  <c:v>8.0299999999999994</c:v>
                </c:pt>
                <c:pt idx="108">
                  <c:v>8.0025000000000013</c:v>
                </c:pt>
                <c:pt idx="109">
                  <c:v>7.9749999999999996</c:v>
                </c:pt>
                <c:pt idx="110">
                  <c:v>7.9474999999999989</c:v>
                </c:pt>
                <c:pt idx="111">
                  <c:v>7.92</c:v>
                </c:pt>
                <c:pt idx="112">
                  <c:v>7.8925000000000001</c:v>
                </c:pt>
                <c:pt idx="113">
                  <c:v>7.8650000000000011</c:v>
                </c:pt>
                <c:pt idx="114">
                  <c:v>7.8375000000000004</c:v>
                </c:pt>
                <c:pt idx="115">
                  <c:v>7.81</c:v>
                </c:pt>
                <c:pt idx="116">
                  <c:v>7.7825000000000006</c:v>
                </c:pt>
                <c:pt idx="117">
                  <c:v>7.7550000000000008</c:v>
                </c:pt>
                <c:pt idx="118">
                  <c:v>7.7275</c:v>
                </c:pt>
                <c:pt idx="119">
                  <c:v>7.6999999999999993</c:v>
                </c:pt>
                <c:pt idx="120">
                  <c:v>7.6725000000000003</c:v>
                </c:pt>
                <c:pt idx="121">
                  <c:v>7.6450000000000005</c:v>
                </c:pt>
                <c:pt idx="122">
                  <c:v>7.6174999999999997</c:v>
                </c:pt>
                <c:pt idx="123">
                  <c:v>7.59</c:v>
                </c:pt>
                <c:pt idx="124">
                  <c:v>7.5625</c:v>
                </c:pt>
                <c:pt idx="125">
                  <c:v>7.5350000000000001</c:v>
                </c:pt>
                <c:pt idx="126">
                  <c:v>7.5075000000000003</c:v>
                </c:pt>
                <c:pt idx="127">
                  <c:v>7.4799999999999995</c:v>
                </c:pt>
                <c:pt idx="128">
                  <c:v>7.4524999999999997</c:v>
                </c:pt>
                <c:pt idx="129">
                  <c:v>7.4250000000000007</c:v>
                </c:pt>
                <c:pt idx="130">
                  <c:v>7.3975</c:v>
                </c:pt>
                <c:pt idx="131">
                  <c:v>7.3699999999999992</c:v>
                </c:pt>
                <c:pt idx="132">
                  <c:v>7.3424999999999994</c:v>
                </c:pt>
                <c:pt idx="133">
                  <c:v>7.3150000000000004</c:v>
                </c:pt>
                <c:pt idx="134">
                  <c:v>7.2874999999999996</c:v>
                </c:pt>
                <c:pt idx="135">
                  <c:v>7.2599999999999989</c:v>
                </c:pt>
                <c:pt idx="136">
                  <c:v>7.2324999999999999</c:v>
                </c:pt>
                <c:pt idx="137">
                  <c:v>7.2050000000000001</c:v>
                </c:pt>
                <c:pt idx="138">
                  <c:v>7.1775000000000011</c:v>
                </c:pt>
                <c:pt idx="139">
                  <c:v>7.15</c:v>
                </c:pt>
                <c:pt idx="140">
                  <c:v>7.1224999999999996</c:v>
                </c:pt>
                <c:pt idx="141">
                  <c:v>7.0950000000000006</c:v>
                </c:pt>
                <c:pt idx="142">
                  <c:v>7.0675000000000008</c:v>
                </c:pt>
                <c:pt idx="143">
                  <c:v>7.04</c:v>
                </c:pt>
                <c:pt idx="144">
                  <c:v>7.0124999999999993</c:v>
                </c:pt>
                <c:pt idx="145">
                  <c:v>6.9850000000000003</c:v>
                </c:pt>
                <c:pt idx="146">
                  <c:v>6.9575000000000005</c:v>
                </c:pt>
                <c:pt idx="147">
                  <c:v>6.93</c:v>
                </c:pt>
                <c:pt idx="148">
                  <c:v>6.9024999999999999</c:v>
                </c:pt>
                <c:pt idx="149">
                  <c:v>6.875</c:v>
                </c:pt>
                <c:pt idx="150">
                  <c:v>6.8475000000000001</c:v>
                </c:pt>
                <c:pt idx="151">
                  <c:v>6.82</c:v>
                </c:pt>
                <c:pt idx="152">
                  <c:v>6.7924999999999995</c:v>
                </c:pt>
                <c:pt idx="153">
                  <c:v>6.7649999999999997</c:v>
                </c:pt>
                <c:pt idx="154">
                  <c:v>6.7375000000000007</c:v>
                </c:pt>
                <c:pt idx="155">
                  <c:v>6.71</c:v>
                </c:pt>
                <c:pt idx="156">
                  <c:v>6.6824999999999992</c:v>
                </c:pt>
                <c:pt idx="157">
                  <c:v>6.6549999999999994</c:v>
                </c:pt>
                <c:pt idx="158">
                  <c:v>6.6275000000000004</c:v>
                </c:pt>
                <c:pt idx="159">
                  <c:v>6.6</c:v>
                </c:pt>
                <c:pt idx="160">
                  <c:v>6.5724999999999989</c:v>
                </c:pt>
                <c:pt idx="161">
                  <c:v>6.5449999999999999</c:v>
                </c:pt>
                <c:pt idx="162">
                  <c:v>6.5175000000000001</c:v>
                </c:pt>
                <c:pt idx="163">
                  <c:v>6.4900000000000011</c:v>
                </c:pt>
                <c:pt idx="164">
                  <c:v>6.4625000000000004</c:v>
                </c:pt>
                <c:pt idx="165">
                  <c:v>6.4349999999999996</c:v>
                </c:pt>
                <c:pt idx="166">
                  <c:v>6.4075000000000006</c:v>
                </c:pt>
                <c:pt idx="167">
                  <c:v>6.3800000000000008</c:v>
                </c:pt>
                <c:pt idx="168">
                  <c:v>6.3525</c:v>
                </c:pt>
                <c:pt idx="169">
                  <c:v>6.3249999999999993</c:v>
                </c:pt>
                <c:pt idx="170">
                  <c:v>6.2975000000000003</c:v>
                </c:pt>
                <c:pt idx="171">
                  <c:v>6.2700000000000005</c:v>
                </c:pt>
                <c:pt idx="172">
                  <c:v>6.2424999999999997</c:v>
                </c:pt>
                <c:pt idx="173">
                  <c:v>6.2149999999999999</c:v>
                </c:pt>
                <c:pt idx="174">
                  <c:v>6.1875</c:v>
                </c:pt>
                <c:pt idx="175">
                  <c:v>6.16</c:v>
                </c:pt>
                <c:pt idx="176">
                  <c:v>6.1325000000000003</c:v>
                </c:pt>
                <c:pt idx="177">
                  <c:v>6.1049999999999995</c:v>
                </c:pt>
                <c:pt idx="178">
                  <c:v>6.0774999999999997</c:v>
                </c:pt>
                <c:pt idx="179">
                  <c:v>6.0500000000000007</c:v>
                </c:pt>
                <c:pt idx="180">
                  <c:v>6.0225</c:v>
                </c:pt>
                <c:pt idx="181">
                  <c:v>5.9949999999999992</c:v>
                </c:pt>
                <c:pt idx="182">
                  <c:v>5.9674999999999994</c:v>
                </c:pt>
                <c:pt idx="183">
                  <c:v>5.94</c:v>
                </c:pt>
                <c:pt idx="184">
                  <c:v>5.9124999999999996</c:v>
                </c:pt>
                <c:pt idx="185">
                  <c:v>5.8849999999999989</c:v>
                </c:pt>
                <c:pt idx="186">
                  <c:v>5.8574999999999999</c:v>
                </c:pt>
                <c:pt idx="187">
                  <c:v>5.83</c:v>
                </c:pt>
                <c:pt idx="188">
                  <c:v>5.8025000000000011</c:v>
                </c:pt>
                <c:pt idx="189">
                  <c:v>5.7750000000000004</c:v>
                </c:pt>
                <c:pt idx="190">
                  <c:v>5.7474999999999996</c:v>
                </c:pt>
                <c:pt idx="191">
                  <c:v>5.7200000000000006</c:v>
                </c:pt>
                <c:pt idx="192">
                  <c:v>5.6925000000000008</c:v>
                </c:pt>
                <c:pt idx="193">
                  <c:v>5.665</c:v>
                </c:pt>
                <c:pt idx="194">
                  <c:v>5.6374999999999993</c:v>
                </c:pt>
                <c:pt idx="195">
                  <c:v>5.61</c:v>
                </c:pt>
                <c:pt idx="196">
                  <c:v>5.5825000000000005</c:v>
                </c:pt>
                <c:pt idx="197">
                  <c:v>5.5549999999999997</c:v>
                </c:pt>
                <c:pt idx="198">
                  <c:v>5.5274999999999999</c:v>
                </c:pt>
                <c:pt idx="199">
                  <c:v>5.5</c:v>
                </c:pt>
                <c:pt idx="200">
                  <c:v>5.4725000000000001</c:v>
                </c:pt>
                <c:pt idx="201">
                  <c:v>5.4450000000000003</c:v>
                </c:pt>
                <c:pt idx="202">
                  <c:v>5.4175000000000004</c:v>
                </c:pt>
                <c:pt idx="203">
                  <c:v>5.39</c:v>
                </c:pt>
                <c:pt idx="204">
                  <c:v>5.3625000000000007</c:v>
                </c:pt>
                <c:pt idx="205">
                  <c:v>5.335</c:v>
                </c:pt>
                <c:pt idx="206">
                  <c:v>5.3075000000000001</c:v>
                </c:pt>
                <c:pt idx="207">
                  <c:v>5.2799999999999994</c:v>
                </c:pt>
                <c:pt idx="208">
                  <c:v>5.2525000000000004</c:v>
                </c:pt>
                <c:pt idx="209">
                  <c:v>5.2249999999999996</c:v>
                </c:pt>
                <c:pt idx="210">
                  <c:v>5.1975000000000007</c:v>
                </c:pt>
                <c:pt idx="211">
                  <c:v>5.17</c:v>
                </c:pt>
                <c:pt idx="212">
                  <c:v>5.1425000000000001</c:v>
                </c:pt>
                <c:pt idx="213">
                  <c:v>5.1149999999999993</c:v>
                </c:pt>
                <c:pt idx="214">
                  <c:v>5.0875000000000004</c:v>
                </c:pt>
                <c:pt idx="215">
                  <c:v>5.0599999999999996</c:v>
                </c:pt>
                <c:pt idx="216">
                  <c:v>5.0325000000000006</c:v>
                </c:pt>
                <c:pt idx="217">
                  <c:v>5.0049999999999999</c:v>
                </c:pt>
                <c:pt idx="218">
                  <c:v>4.9775</c:v>
                </c:pt>
                <c:pt idx="219">
                  <c:v>4.9499999999999993</c:v>
                </c:pt>
                <c:pt idx="220">
                  <c:v>4.9225000000000003</c:v>
                </c:pt>
                <c:pt idx="221">
                  <c:v>4.8949999999999996</c:v>
                </c:pt>
                <c:pt idx="222">
                  <c:v>4.8674999999999997</c:v>
                </c:pt>
                <c:pt idx="223">
                  <c:v>4.84</c:v>
                </c:pt>
                <c:pt idx="224">
                  <c:v>4.8125</c:v>
                </c:pt>
                <c:pt idx="225">
                  <c:v>4.7850000000000001</c:v>
                </c:pt>
                <c:pt idx="226">
                  <c:v>4.7575000000000003</c:v>
                </c:pt>
                <c:pt idx="227">
                  <c:v>4.7300000000000004</c:v>
                </c:pt>
                <c:pt idx="228">
                  <c:v>4.7024999999999997</c:v>
                </c:pt>
                <c:pt idx="229">
                  <c:v>4.6750000000000007</c:v>
                </c:pt>
                <c:pt idx="230">
                  <c:v>4.6475</c:v>
                </c:pt>
                <c:pt idx="231">
                  <c:v>4.62</c:v>
                </c:pt>
                <c:pt idx="232">
                  <c:v>4.5924999999999994</c:v>
                </c:pt>
                <c:pt idx="233">
                  <c:v>4.5650000000000004</c:v>
                </c:pt>
                <c:pt idx="234">
                  <c:v>4.5374999999999996</c:v>
                </c:pt>
                <c:pt idx="235">
                  <c:v>4.5100000000000007</c:v>
                </c:pt>
                <c:pt idx="236">
                  <c:v>4.4824999999999999</c:v>
                </c:pt>
                <c:pt idx="237">
                  <c:v>4.4550000000000001</c:v>
                </c:pt>
                <c:pt idx="238">
                  <c:v>4.4274999999999993</c:v>
                </c:pt>
                <c:pt idx="239">
                  <c:v>4.4000000000000004</c:v>
                </c:pt>
                <c:pt idx="240">
                  <c:v>4.3724999999999996</c:v>
                </c:pt>
                <c:pt idx="241">
                  <c:v>4.3450000000000006</c:v>
                </c:pt>
                <c:pt idx="242">
                  <c:v>4.3174999999999999</c:v>
                </c:pt>
                <c:pt idx="243">
                  <c:v>4.29</c:v>
                </c:pt>
                <c:pt idx="244">
                  <c:v>4.2624999999999993</c:v>
                </c:pt>
                <c:pt idx="245">
                  <c:v>4.2350000000000003</c:v>
                </c:pt>
                <c:pt idx="246">
                  <c:v>4.2074999999999996</c:v>
                </c:pt>
                <c:pt idx="247">
                  <c:v>4.18</c:v>
                </c:pt>
                <c:pt idx="248">
                  <c:v>4.1524999999999999</c:v>
                </c:pt>
                <c:pt idx="249">
                  <c:v>4.125</c:v>
                </c:pt>
                <c:pt idx="250">
                  <c:v>4.0975000000000001</c:v>
                </c:pt>
                <c:pt idx="251">
                  <c:v>4.07</c:v>
                </c:pt>
                <c:pt idx="252">
                  <c:v>4.0425000000000004</c:v>
                </c:pt>
                <c:pt idx="253">
                  <c:v>4.0149999999999997</c:v>
                </c:pt>
                <c:pt idx="254">
                  <c:v>3.9875000000000007</c:v>
                </c:pt>
                <c:pt idx="255">
                  <c:v>3.96</c:v>
                </c:pt>
                <c:pt idx="256">
                  <c:v>3.9325000000000006</c:v>
                </c:pt>
                <c:pt idx="257">
                  <c:v>3.9049999999999998</c:v>
                </c:pt>
                <c:pt idx="258">
                  <c:v>3.8775000000000004</c:v>
                </c:pt>
                <c:pt idx="259">
                  <c:v>3.8499999999999996</c:v>
                </c:pt>
                <c:pt idx="260">
                  <c:v>3.8225000000000002</c:v>
                </c:pt>
                <c:pt idx="261">
                  <c:v>3.7949999999999999</c:v>
                </c:pt>
                <c:pt idx="262">
                  <c:v>3.7675000000000001</c:v>
                </c:pt>
                <c:pt idx="263">
                  <c:v>3.7399999999999998</c:v>
                </c:pt>
                <c:pt idx="264">
                  <c:v>3.7125000000000004</c:v>
                </c:pt>
                <c:pt idx="265">
                  <c:v>3.6849999999999996</c:v>
                </c:pt>
                <c:pt idx="266">
                  <c:v>3.6575000000000002</c:v>
                </c:pt>
                <c:pt idx="267">
                  <c:v>3.6299999999999994</c:v>
                </c:pt>
                <c:pt idx="268">
                  <c:v>3.6025</c:v>
                </c:pt>
                <c:pt idx="269">
                  <c:v>3.5749999999999993</c:v>
                </c:pt>
                <c:pt idx="270">
                  <c:v>3.5475000000000003</c:v>
                </c:pt>
                <c:pt idx="271">
                  <c:v>3.5199999999999996</c:v>
                </c:pt>
                <c:pt idx="272">
                  <c:v>3.4925000000000002</c:v>
                </c:pt>
                <c:pt idx="273">
                  <c:v>3.4649999999999994</c:v>
                </c:pt>
                <c:pt idx="274">
                  <c:v>3.4375</c:v>
                </c:pt>
                <c:pt idx="275">
                  <c:v>3.4100000000000006</c:v>
                </c:pt>
                <c:pt idx="276">
                  <c:v>3.3824999999999998</c:v>
                </c:pt>
                <c:pt idx="277">
                  <c:v>3.3550000000000004</c:v>
                </c:pt>
                <c:pt idx="278">
                  <c:v>3.3274999999999997</c:v>
                </c:pt>
                <c:pt idx="279">
                  <c:v>3.3000000000000007</c:v>
                </c:pt>
                <c:pt idx="280">
                  <c:v>3.2725</c:v>
                </c:pt>
                <c:pt idx="281">
                  <c:v>3.2450000000000006</c:v>
                </c:pt>
                <c:pt idx="282">
                  <c:v>3.2174999999999998</c:v>
                </c:pt>
                <c:pt idx="283">
                  <c:v>3.1900000000000004</c:v>
                </c:pt>
                <c:pt idx="284">
                  <c:v>3.1624999999999996</c:v>
                </c:pt>
                <c:pt idx="285">
                  <c:v>3.1350000000000002</c:v>
                </c:pt>
                <c:pt idx="286">
                  <c:v>3.1074999999999999</c:v>
                </c:pt>
                <c:pt idx="287">
                  <c:v>3.08</c:v>
                </c:pt>
                <c:pt idx="288">
                  <c:v>3.0524999999999998</c:v>
                </c:pt>
                <c:pt idx="289">
                  <c:v>3.0250000000000004</c:v>
                </c:pt>
                <c:pt idx="290">
                  <c:v>2.9974999999999996</c:v>
                </c:pt>
                <c:pt idx="291">
                  <c:v>2.97</c:v>
                </c:pt>
                <c:pt idx="292">
                  <c:v>2.9424999999999994</c:v>
                </c:pt>
                <c:pt idx="293">
                  <c:v>2.915</c:v>
                </c:pt>
                <c:pt idx="294">
                  <c:v>2.8874999999999993</c:v>
                </c:pt>
                <c:pt idx="295">
                  <c:v>2.8600000000000003</c:v>
                </c:pt>
                <c:pt idx="296">
                  <c:v>2.8324999999999996</c:v>
                </c:pt>
                <c:pt idx="297">
                  <c:v>2.8050000000000002</c:v>
                </c:pt>
                <c:pt idx="298">
                  <c:v>2.7774999999999994</c:v>
                </c:pt>
                <c:pt idx="299">
                  <c:v>2.75</c:v>
                </c:pt>
                <c:pt idx="300">
                  <c:v>2.7225000000000006</c:v>
                </c:pt>
                <c:pt idx="301">
                  <c:v>2.6949999999999998</c:v>
                </c:pt>
                <c:pt idx="302">
                  <c:v>2.6675000000000004</c:v>
                </c:pt>
                <c:pt idx="303">
                  <c:v>2.6399999999999997</c:v>
                </c:pt>
                <c:pt idx="304">
                  <c:v>2.6125000000000007</c:v>
                </c:pt>
                <c:pt idx="305">
                  <c:v>2.585</c:v>
                </c:pt>
                <c:pt idx="306">
                  <c:v>2.5575000000000006</c:v>
                </c:pt>
                <c:pt idx="307">
                  <c:v>2.5299999999999998</c:v>
                </c:pt>
                <c:pt idx="308">
                  <c:v>2.5025000000000004</c:v>
                </c:pt>
                <c:pt idx="309">
                  <c:v>2.4749999999999996</c:v>
                </c:pt>
                <c:pt idx="310">
                  <c:v>2.4475000000000002</c:v>
                </c:pt>
                <c:pt idx="311">
                  <c:v>2.42</c:v>
                </c:pt>
                <c:pt idx="312">
                  <c:v>2.3925000000000001</c:v>
                </c:pt>
                <c:pt idx="313">
                  <c:v>2.3649999999999998</c:v>
                </c:pt>
                <c:pt idx="314">
                  <c:v>2.3375000000000004</c:v>
                </c:pt>
                <c:pt idx="315">
                  <c:v>2.3099999999999996</c:v>
                </c:pt>
                <c:pt idx="316">
                  <c:v>2.2825000000000002</c:v>
                </c:pt>
                <c:pt idx="317">
                  <c:v>2.2549999999999994</c:v>
                </c:pt>
                <c:pt idx="318">
                  <c:v>2.2275</c:v>
                </c:pt>
                <c:pt idx="319">
                  <c:v>2.1999999999999993</c:v>
                </c:pt>
                <c:pt idx="320">
                  <c:v>2.1725000000000003</c:v>
                </c:pt>
                <c:pt idx="321">
                  <c:v>2.1449999999999996</c:v>
                </c:pt>
                <c:pt idx="322">
                  <c:v>2.1175000000000002</c:v>
                </c:pt>
                <c:pt idx="323">
                  <c:v>2.0899999999999994</c:v>
                </c:pt>
                <c:pt idx="324">
                  <c:v>2.0625</c:v>
                </c:pt>
                <c:pt idx="325">
                  <c:v>2.0350000000000006</c:v>
                </c:pt>
                <c:pt idx="326">
                  <c:v>2.0074999999999998</c:v>
                </c:pt>
                <c:pt idx="327">
                  <c:v>1.9800000000000004</c:v>
                </c:pt>
                <c:pt idx="328">
                  <c:v>1.9524999999999999</c:v>
                </c:pt>
                <c:pt idx="329">
                  <c:v>1.9250000000000005</c:v>
                </c:pt>
                <c:pt idx="330">
                  <c:v>1.8975</c:v>
                </c:pt>
                <c:pt idx="331">
                  <c:v>1.8700000000000006</c:v>
                </c:pt>
                <c:pt idx="332">
                  <c:v>1.8424999999999998</c:v>
                </c:pt>
                <c:pt idx="333">
                  <c:v>1.8150000000000004</c:v>
                </c:pt>
                <c:pt idx="334">
                  <c:v>1.7874999999999996</c:v>
                </c:pt>
                <c:pt idx="335">
                  <c:v>1.7600000000000002</c:v>
                </c:pt>
                <c:pt idx="336">
                  <c:v>1.7324999999999997</c:v>
                </c:pt>
                <c:pt idx="337">
                  <c:v>1.7050000000000003</c:v>
                </c:pt>
                <c:pt idx="338">
                  <c:v>1.6774999999999998</c:v>
                </c:pt>
                <c:pt idx="339">
                  <c:v>1.6500000000000004</c:v>
                </c:pt>
                <c:pt idx="340">
                  <c:v>1.6224999999999996</c:v>
                </c:pt>
                <c:pt idx="341">
                  <c:v>1.5950000000000002</c:v>
                </c:pt>
                <c:pt idx="342">
                  <c:v>1.5674999999999994</c:v>
                </c:pt>
                <c:pt idx="343">
                  <c:v>1.54</c:v>
                </c:pt>
                <c:pt idx="344">
                  <c:v>1.5124999999999995</c:v>
                </c:pt>
                <c:pt idx="345">
                  <c:v>1.4850000000000001</c:v>
                </c:pt>
                <c:pt idx="346">
                  <c:v>1.4574999999999996</c:v>
                </c:pt>
                <c:pt idx="347">
                  <c:v>1.4300000000000002</c:v>
                </c:pt>
                <c:pt idx="348">
                  <c:v>1.4024999999999994</c:v>
                </c:pt>
                <c:pt idx="349">
                  <c:v>1.375</c:v>
                </c:pt>
                <c:pt idx="350">
                  <c:v>1.3475000000000006</c:v>
                </c:pt>
                <c:pt idx="351">
                  <c:v>1.3199999999999998</c:v>
                </c:pt>
                <c:pt idx="352">
                  <c:v>1.2925000000000004</c:v>
                </c:pt>
                <c:pt idx="353">
                  <c:v>1.2649999999999999</c:v>
                </c:pt>
                <c:pt idx="354">
                  <c:v>1.2375000000000005</c:v>
                </c:pt>
                <c:pt idx="355">
                  <c:v>1.21</c:v>
                </c:pt>
                <c:pt idx="356">
                  <c:v>1.1825000000000006</c:v>
                </c:pt>
                <c:pt idx="357">
                  <c:v>1.1549999999999998</c:v>
                </c:pt>
                <c:pt idx="358">
                  <c:v>1.1275000000000004</c:v>
                </c:pt>
                <c:pt idx="359">
                  <c:v>1.0999999999999996</c:v>
                </c:pt>
                <c:pt idx="360">
                  <c:v>1.0725000000000002</c:v>
                </c:pt>
                <c:pt idx="361">
                  <c:v>1.0449999999999997</c:v>
                </c:pt>
                <c:pt idx="362">
                  <c:v>1.0175000000000003</c:v>
                </c:pt>
                <c:pt idx="363">
                  <c:v>0.98999999999999966</c:v>
                </c:pt>
                <c:pt idx="364">
                  <c:v>0.96250000000000024</c:v>
                </c:pt>
                <c:pt idx="365">
                  <c:v>0.93499999999999961</c:v>
                </c:pt>
                <c:pt idx="366">
                  <c:v>0.9075000000000002</c:v>
                </c:pt>
                <c:pt idx="367">
                  <c:v>0.87999999999999956</c:v>
                </c:pt>
                <c:pt idx="368">
                  <c:v>0.85250000000000015</c:v>
                </c:pt>
                <c:pt idx="369">
                  <c:v>0.82499999999999951</c:v>
                </c:pt>
                <c:pt idx="370">
                  <c:v>0.7975000000000001</c:v>
                </c:pt>
                <c:pt idx="371">
                  <c:v>0.76999999999999946</c:v>
                </c:pt>
                <c:pt idx="372">
                  <c:v>0.74250000000000005</c:v>
                </c:pt>
                <c:pt idx="373">
                  <c:v>0.71499999999999941</c:v>
                </c:pt>
                <c:pt idx="374">
                  <c:v>0.6875</c:v>
                </c:pt>
                <c:pt idx="375">
                  <c:v>0.66000000000000059</c:v>
                </c:pt>
                <c:pt idx="376">
                  <c:v>0.63249999999999995</c:v>
                </c:pt>
                <c:pt idx="377">
                  <c:v>0.60500000000000054</c:v>
                </c:pt>
                <c:pt idx="378">
                  <c:v>0.5774999999999999</c:v>
                </c:pt>
                <c:pt idx="379">
                  <c:v>0.55000000000000049</c:v>
                </c:pt>
                <c:pt idx="380">
                  <c:v>0.52249999999999985</c:v>
                </c:pt>
                <c:pt idx="381">
                  <c:v>0.49500000000000044</c:v>
                </c:pt>
                <c:pt idx="382">
                  <c:v>0.4674999999999998</c:v>
                </c:pt>
                <c:pt idx="383">
                  <c:v>0.44000000000000039</c:v>
                </c:pt>
                <c:pt idx="384">
                  <c:v>0.41249999999999976</c:v>
                </c:pt>
                <c:pt idx="385">
                  <c:v>0.38500000000000034</c:v>
                </c:pt>
                <c:pt idx="386">
                  <c:v>0.35749999999999971</c:v>
                </c:pt>
                <c:pt idx="387">
                  <c:v>0.33000000000000029</c:v>
                </c:pt>
                <c:pt idx="388">
                  <c:v>0.30249999999999966</c:v>
                </c:pt>
                <c:pt idx="389">
                  <c:v>0.27500000000000024</c:v>
                </c:pt>
                <c:pt idx="390">
                  <c:v>0.24749999999999961</c:v>
                </c:pt>
                <c:pt idx="391">
                  <c:v>0.2200000000000002</c:v>
                </c:pt>
                <c:pt idx="392">
                  <c:v>0.19249999999999956</c:v>
                </c:pt>
                <c:pt idx="393">
                  <c:v>0.16500000000000015</c:v>
                </c:pt>
                <c:pt idx="394">
                  <c:v>0.13749999999999951</c:v>
                </c:pt>
                <c:pt idx="395">
                  <c:v>0.1100000000000001</c:v>
                </c:pt>
                <c:pt idx="396">
                  <c:v>8.2499999999999463E-2</c:v>
                </c:pt>
                <c:pt idx="397">
                  <c:v>5.5000000000000049E-2</c:v>
                </c:pt>
                <c:pt idx="398">
                  <c:v>2.7499999999999414E-2</c:v>
                </c:pt>
                <c:pt idx="399">
                  <c:v>0</c:v>
                </c:pt>
                <c:pt idx="400">
                  <c:v>-2.7499999999999414E-2</c:v>
                </c:pt>
                <c:pt idx="401">
                  <c:v>-5.4999999999998828E-2</c:v>
                </c:pt>
                <c:pt idx="402">
                  <c:v>-8.2500000000000684E-2</c:v>
                </c:pt>
                <c:pt idx="403">
                  <c:v>-0.1100000000000001</c:v>
                </c:pt>
                <c:pt idx="404">
                  <c:v>-0.13749999999999951</c:v>
                </c:pt>
                <c:pt idx="405">
                  <c:v>-0.16499999999999893</c:v>
                </c:pt>
                <c:pt idx="406">
                  <c:v>-0.19250000000000078</c:v>
                </c:pt>
                <c:pt idx="407">
                  <c:v>-0.2200000000000002</c:v>
                </c:pt>
                <c:pt idx="408">
                  <c:v>-0.24749999999999961</c:v>
                </c:pt>
                <c:pt idx="409">
                  <c:v>-0.27499999999999902</c:v>
                </c:pt>
                <c:pt idx="410">
                  <c:v>-0.30250000000000088</c:v>
                </c:pt>
                <c:pt idx="411">
                  <c:v>-0.33000000000000029</c:v>
                </c:pt>
                <c:pt idx="412">
                  <c:v>-0.35749999999999971</c:v>
                </c:pt>
                <c:pt idx="413">
                  <c:v>-0.38499999999999912</c:v>
                </c:pt>
                <c:pt idx="414">
                  <c:v>-0.41250000000000098</c:v>
                </c:pt>
                <c:pt idx="415">
                  <c:v>-0.44000000000000039</c:v>
                </c:pt>
                <c:pt idx="416">
                  <c:v>-0.4674999999999998</c:v>
                </c:pt>
                <c:pt idx="417">
                  <c:v>-0.49499999999999922</c:v>
                </c:pt>
                <c:pt idx="418">
                  <c:v>-0.52250000000000107</c:v>
                </c:pt>
                <c:pt idx="419">
                  <c:v>-0.55000000000000049</c:v>
                </c:pt>
                <c:pt idx="420">
                  <c:v>-0.5774999999999999</c:v>
                </c:pt>
                <c:pt idx="421">
                  <c:v>-0.60499999999999932</c:v>
                </c:pt>
                <c:pt idx="422">
                  <c:v>-0.63250000000000117</c:v>
                </c:pt>
                <c:pt idx="423">
                  <c:v>-0.66000000000000059</c:v>
                </c:pt>
                <c:pt idx="424">
                  <c:v>-0.6875</c:v>
                </c:pt>
                <c:pt idx="425">
                  <c:v>-0.71499999999999941</c:v>
                </c:pt>
                <c:pt idx="426">
                  <c:v>-0.74249999999999883</c:v>
                </c:pt>
                <c:pt idx="427">
                  <c:v>-0.77000000000000068</c:v>
                </c:pt>
                <c:pt idx="428">
                  <c:v>-0.7975000000000001</c:v>
                </c:pt>
                <c:pt idx="429">
                  <c:v>-0.82499999999999951</c:v>
                </c:pt>
                <c:pt idx="430">
                  <c:v>-0.85249999999999893</c:v>
                </c:pt>
                <c:pt idx="431">
                  <c:v>-0.88000000000000078</c:v>
                </c:pt>
                <c:pt idx="432">
                  <c:v>-0.9075000000000002</c:v>
                </c:pt>
                <c:pt idx="433">
                  <c:v>-0.93499999999999961</c:v>
                </c:pt>
                <c:pt idx="434">
                  <c:v>-0.96249999999999902</c:v>
                </c:pt>
                <c:pt idx="435">
                  <c:v>-0.99000000000000088</c:v>
                </c:pt>
                <c:pt idx="436">
                  <c:v>-1.0175000000000003</c:v>
                </c:pt>
                <c:pt idx="437">
                  <c:v>-1.0449999999999997</c:v>
                </c:pt>
                <c:pt idx="438">
                  <c:v>-1.0724999999999991</c:v>
                </c:pt>
                <c:pt idx="439">
                  <c:v>-1.100000000000001</c:v>
                </c:pt>
                <c:pt idx="440">
                  <c:v>-1.1275000000000004</c:v>
                </c:pt>
                <c:pt idx="441">
                  <c:v>-1.1549999999999998</c:v>
                </c:pt>
                <c:pt idx="442">
                  <c:v>-1.1824999999999992</c:v>
                </c:pt>
                <c:pt idx="443">
                  <c:v>-1.2100000000000011</c:v>
                </c:pt>
                <c:pt idx="444">
                  <c:v>-1.2375000000000005</c:v>
                </c:pt>
                <c:pt idx="445">
                  <c:v>-1.2649999999999999</c:v>
                </c:pt>
                <c:pt idx="446">
                  <c:v>-1.2924999999999993</c:v>
                </c:pt>
                <c:pt idx="447">
                  <c:v>-1.3200000000000012</c:v>
                </c:pt>
                <c:pt idx="448">
                  <c:v>-1.3475000000000006</c:v>
                </c:pt>
                <c:pt idx="449">
                  <c:v>-1.375</c:v>
                </c:pt>
                <c:pt idx="450">
                  <c:v>-1.4024999999999994</c:v>
                </c:pt>
                <c:pt idx="451">
                  <c:v>-1.4299999999999988</c:v>
                </c:pt>
                <c:pt idx="452">
                  <c:v>-1.4575000000000007</c:v>
                </c:pt>
                <c:pt idx="453">
                  <c:v>-1.4850000000000001</c:v>
                </c:pt>
                <c:pt idx="454">
                  <c:v>-1.5124999999999995</c:v>
                </c:pt>
                <c:pt idx="455">
                  <c:v>-1.5399999999999989</c:v>
                </c:pt>
                <c:pt idx="456">
                  <c:v>-1.5675000000000008</c:v>
                </c:pt>
                <c:pt idx="457">
                  <c:v>-1.5950000000000002</c:v>
                </c:pt>
                <c:pt idx="458">
                  <c:v>-1.6224999999999996</c:v>
                </c:pt>
                <c:pt idx="459">
                  <c:v>-1.649999999999999</c:v>
                </c:pt>
                <c:pt idx="460">
                  <c:v>-1.6775000000000009</c:v>
                </c:pt>
                <c:pt idx="461">
                  <c:v>-1.7050000000000003</c:v>
                </c:pt>
                <c:pt idx="462">
                  <c:v>-1.7324999999999997</c:v>
                </c:pt>
                <c:pt idx="463">
                  <c:v>-1.7599999999999991</c:v>
                </c:pt>
                <c:pt idx="464">
                  <c:v>-1.787500000000001</c:v>
                </c:pt>
                <c:pt idx="465">
                  <c:v>-1.8150000000000004</c:v>
                </c:pt>
                <c:pt idx="466">
                  <c:v>-1.8424999999999998</c:v>
                </c:pt>
                <c:pt idx="467">
                  <c:v>-1.8699999999999992</c:v>
                </c:pt>
                <c:pt idx="468">
                  <c:v>-1.8975000000000011</c:v>
                </c:pt>
                <c:pt idx="469">
                  <c:v>-1.9250000000000005</c:v>
                </c:pt>
                <c:pt idx="470">
                  <c:v>-1.9524999999999999</c:v>
                </c:pt>
                <c:pt idx="471">
                  <c:v>-1.9799999999999993</c:v>
                </c:pt>
                <c:pt idx="472">
                  <c:v>-2.0075000000000012</c:v>
                </c:pt>
                <c:pt idx="473">
                  <c:v>-2.0350000000000006</c:v>
                </c:pt>
                <c:pt idx="474">
                  <c:v>-2.0625</c:v>
                </c:pt>
                <c:pt idx="475">
                  <c:v>-2.0899999999999994</c:v>
                </c:pt>
                <c:pt idx="476">
                  <c:v>-2.1174999999999988</c:v>
                </c:pt>
                <c:pt idx="477">
                  <c:v>-2.1450000000000005</c:v>
                </c:pt>
                <c:pt idx="478">
                  <c:v>-2.1725000000000003</c:v>
                </c:pt>
                <c:pt idx="479">
                  <c:v>-2.1999999999999993</c:v>
                </c:pt>
                <c:pt idx="480">
                  <c:v>-2.2274999999999991</c:v>
                </c:pt>
                <c:pt idx="481">
                  <c:v>-2.2550000000000008</c:v>
                </c:pt>
                <c:pt idx="482">
                  <c:v>-2.2825000000000002</c:v>
                </c:pt>
                <c:pt idx="483">
                  <c:v>-2.3099999999999996</c:v>
                </c:pt>
                <c:pt idx="484">
                  <c:v>-2.337499999999999</c:v>
                </c:pt>
                <c:pt idx="485">
                  <c:v>-2.3650000000000011</c:v>
                </c:pt>
                <c:pt idx="486">
                  <c:v>-2.3925000000000001</c:v>
                </c:pt>
                <c:pt idx="487">
                  <c:v>-2.42</c:v>
                </c:pt>
                <c:pt idx="488">
                  <c:v>-2.4474999999999989</c:v>
                </c:pt>
                <c:pt idx="489">
                  <c:v>-2.475000000000001</c:v>
                </c:pt>
                <c:pt idx="490">
                  <c:v>-2.5025000000000004</c:v>
                </c:pt>
                <c:pt idx="491">
                  <c:v>-2.5299999999999998</c:v>
                </c:pt>
                <c:pt idx="492">
                  <c:v>-2.5574999999999992</c:v>
                </c:pt>
                <c:pt idx="493">
                  <c:v>-2.5850000000000009</c:v>
                </c:pt>
                <c:pt idx="494">
                  <c:v>-2.6125000000000007</c:v>
                </c:pt>
                <c:pt idx="495">
                  <c:v>-2.6399999999999997</c:v>
                </c:pt>
                <c:pt idx="496">
                  <c:v>-2.6674999999999995</c:v>
                </c:pt>
                <c:pt idx="497">
                  <c:v>-2.6950000000000012</c:v>
                </c:pt>
                <c:pt idx="498">
                  <c:v>-2.7225000000000006</c:v>
                </c:pt>
                <c:pt idx="499">
                  <c:v>-2.75</c:v>
                </c:pt>
                <c:pt idx="500">
                  <c:v>-2.7774999999999994</c:v>
                </c:pt>
                <c:pt idx="501">
                  <c:v>-2.8049999999999988</c:v>
                </c:pt>
                <c:pt idx="502">
                  <c:v>-2.8325000000000005</c:v>
                </c:pt>
                <c:pt idx="503">
                  <c:v>-2.8600000000000003</c:v>
                </c:pt>
                <c:pt idx="504">
                  <c:v>-2.8874999999999993</c:v>
                </c:pt>
                <c:pt idx="505">
                  <c:v>-2.9149999999999991</c:v>
                </c:pt>
                <c:pt idx="506">
                  <c:v>-2.9425000000000008</c:v>
                </c:pt>
                <c:pt idx="507">
                  <c:v>-2.97</c:v>
                </c:pt>
                <c:pt idx="508">
                  <c:v>-2.9974999999999996</c:v>
                </c:pt>
                <c:pt idx="509">
                  <c:v>-3.024999999999999</c:v>
                </c:pt>
                <c:pt idx="510">
                  <c:v>-3.0525000000000011</c:v>
                </c:pt>
                <c:pt idx="511">
                  <c:v>-3.08</c:v>
                </c:pt>
                <c:pt idx="512">
                  <c:v>-3.1074999999999999</c:v>
                </c:pt>
                <c:pt idx="513">
                  <c:v>-3.1349999999999989</c:v>
                </c:pt>
                <c:pt idx="514">
                  <c:v>-3.162500000000001</c:v>
                </c:pt>
                <c:pt idx="515">
                  <c:v>-3.1900000000000004</c:v>
                </c:pt>
                <c:pt idx="516">
                  <c:v>-3.2174999999999998</c:v>
                </c:pt>
                <c:pt idx="517">
                  <c:v>-3.2449999999999992</c:v>
                </c:pt>
                <c:pt idx="518">
                  <c:v>-3.2725000000000009</c:v>
                </c:pt>
                <c:pt idx="519">
                  <c:v>-3.3000000000000007</c:v>
                </c:pt>
                <c:pt idx="520">
                  <c:v>-3.3274999999999997</c:v>
                </c:pt>
                <c:pt idx="521">
                  <c:v>-3.3549999999999995</c:v>
                </c:pt>
                <c:pt idx="522">
                  <c:v>-3.3825000000000012</c:v>
                </c:pt>
                <c:pt idx="523">
                  <c:v>-3.4100000000000006</c:v>
                </c:pt>
                <c:pt idx="524">
                  <c:v>-3.4375</c:v>
                </c:pt>
                <c:pt idx="525">
                  <c:v>-3.4649999999999994</c:v>
                </c:pt>
                <c:pt idx="526">
                  <c:v>-3.4924999999999988</c:v>
                </c:pt>
                <c:pt idx="527">
                  <c:v>-3.5200000000000005</c:v>
                </c:pt>
                <c:pt idx="528">
                  <c:v>-3.5475000000000003</c:v>
                </c:pt>
                <c:pt idx="529">
                  <c:v>-3.5749999999999993</c:v>
                </c:pt>
                <c:pt idx="530">
                  <c:v>-3.6024999999999991</c:v>
                </c:pt>
                <c:pt idx="531">
                  <c:v>-3.6300000000000008</c:v>
                </c:pt>
                <c:pt idx="532">
                  <c:v>-3.6575000000000002</c:v>
                </c:pt>
                <c:pt idx="533">
                  <c:v>-3.6849999999999996</c:v>
                </c:pt>
                <c:pt idx="534">
                  <c:v>-3.712499999999999</c:v>
                </c:pt>
                <c:pt idx="535">
                  <c:v>-3.7400000000000011</c:v>
                </c:pt>
                <c:pt idx="536">
                  <c:v>-3.7675000000000001</c:v>
                </c:pt>
                <c:pt idx="537">
                  <c:v>-3.7949999999999999</c:v>
                </c:pt>
                <c:pt idx="538">
                  <c:v>-3.8224999999999989</c:v>
                </c:pt>
                <c:pt idx="539">
                  <c:v>-3.850000000000001</c:v>
                </c:pt>
                <c:pt idx="540">
                  <c:v>-3.8775000000000004</c:v>
                </c:pt>
                <c:pt idx="541">
                  <c:v>-3.9049999999999998</c:v>
                </c:pt>
                <c:pt idx="542">
                  <c:v>-3.9324999999999992</c:v>
                </c:pt>
                <c:pt idx="543">
                  <c:v>-3.9600000000000009</c:v>
                </c:pt>
                <c:pt idx="544">
                  <c:v>-3.9875000000000007</c:v>
                </c:pt>
                <c:pt idx="545">
                  <c:v>-4.0149999999999997</c:v>
                </c:pt>
                <c:pt idx="546">
                  <c:v>-4.0424999999999995</c:v>
                </c:pt>
                <c:pt idx="547">
                  <c:v>-4.0700000000000012</c:v>
                </c:pt>
                <c:pt idx="548">
                  <c:v>-4.0975000000000001</c:v>
                </c:pt>
                <c:pt idx="549">
                  <c:v>-4.125</c:v>
                </c:pt>
                <c:pt idx="550">
                  <c:v>-4.1524999999999999</c:v>
                </c:pt>
                <c:pt idx="551">
                  <c:v>-4.1799999999999988</c:v>
                </c:pt>
                <c:pt idx="552">
                  <c:v>-4.2075000000000005</c:v>
                </c:pt>
                <c:pt idx="553">
                  <c:v>-4.2350000000000003</c:v>
                </c:pt>
                <c:pt idx="554">
                  <c:v>-4.2624999999999993</c:v>
                </c:pt>
                <c:pt idx="555">
                  <c:v>-4.2899999999999991</c:v>
                </c:pt>
                <c:pt idx="556">
                  <c:v>-4.3175000000000008</c:v>
                </c:pt>
                <c:pt idx="557">
                  <c:v>-4.3450000000000006</c:v>
                </c:pt>
                <c:pt idx="558">
                  <c:v>-4.3724999999999996</c:v>
                </c:pt>
                <c:pt idx="559">
                  <c:v>-4.3999999999999986</c:v>
                </c:pt>
                <c:pt idx="560">
                  <c:v>-4.4275000000000011</c:v>
                </c:pt>
                <c:pt idx="561">
                  <c:v>-4.4550000000000001</c:v>
                </c:pt>
                <c:pt idx="562">
                  <c:v>-4.4824999999999999</c:v>
                </c:pt>
                <c:pt idx="563">
                  <c:v>-4.5099999999999989</c:v>
                </c:pt>
                <c:pt idx="564">
                  <c:v>-4.5375000000000014</c:v>
                </c:pt>
                <c:pt idx="565">
                  <c:v>-4.5650000000000004</c:v>
                </c:pt>
                <c:pt idx="566">
                  <c:v>-4.5924999999999994</c:v>
                </c:pt>
                <c:pt idx="567">
                  <c:v>-4.6199999999999992</c:v>
                </c:pt>
                <c:pt idx="568">
                  <c:v>-4.6475000000000009</c:v>
                </c:pt>
                <c:pt idx="569">
                  <c:v>-4.6750000000000007</c:v>
                </c:pt>
                <c:pt idx="570">
                  <c:v>-4.7024999999999997</c:v>
                </c:pt>
                <c:pt idx="571">
                  <c:v>-4.7299999999999995</c:v>
                </c:pt>
                <c:pt idx="572">
                  <c:v>-4.7575000000000012</c:v>
                </c:pt>
                <c:pt idx="573">
                  <c:v>-4.7850000000000001</c:v>
                </c:pt>
                <c:pt idx="574">
                  <c:v>-4.8125</c:v>
                </c:pt>
                <c:pt idx="575">
                  <c:v>-4.84</c:v>
                </c:pt>
                <c:pt idx="576">
                  <c:v>-4.8674999999999988</c:v>
                </c:pt>
                <c:pt idx="577">
                  <c:v>-4.8950000000000005</c:v>
                </c:pt>
                <c:pt idx="578">
                  <c:v>-4.9225000000000003</c:v>
                </c:pt>
                <c:pt idx="579">
                  <c:v>-4.9499999999999993</c:v>
                </c:pt>
                <c:pt idx="580">
                  <c:v>-4.9774999999999991</c:v>
                </c:pt>
                <c:pt idx="581">
                  <c:v>-5.0050000000000008</c:v>
                </c:pt>
                <c:pt idx="582">
                  <c:v>-5.0325000000000006</c:v>
                </c:pt>
                <c:pt idx="583">
                  <c:v>-5.0599999999999996</c:v>
                </c:pt>
                <c:pt idx="584">
                  <c:v>-5.0874999999999986</c:v>
                </c:pt>
                <c:pt idx="585">
                  <c:v>-5.1150000000000011</c:v>
                </c:pt>
                <c:pt idx="586">
                  <c:v>-5.1425000000000001</c:v>
                </c:pt>
                <c:pt idx="587">
                  <c:v>-5.17</c:v>
                </c:pt>
                <c:pt idx="588">
                  <c:v>-5.1974999999999989</c:v>
                </c:pt>
                <c:pt idx="589">
                  <c:v>-5.2250000000000014</c:v>
                </c:pt>
                <c:pt idx="590">
                  <c:v>-5.2525000000000004</c:v>
                </c:pt>
                <c:pt idx="591">
                  <c:v>-5.2799999999999994</c:v>
                </c:pt>
                <c:pt idx="592">
                  <c:v>-5.3074999999999992</c:v>
                </c:pt>
                <c:pt idx="593">
                  <c:v>-5.3350000000000009</c:v>
                </c:pt>
                <c:pt idx="594">
                  <c:v>-5.3625000000000007</c:v>
                </c:pt>
                <c:pt idx="595">
                  <c:v>-5.39</c:v>
                </c:pt>
                <c:pt idx="596">
                  <c:v>-5.4174999999999995</c:v>
                </c:pt>
                <c:pt idx="597">
                  <c:v>-5.4450000000000012</c:v>
                </c:pt>
                <c:pt idx="598">
                  <c:v>-5.4725000000000001</c:v>
                </c:pt>
                <c:pt idx="599">
                  <c:v>-5.5</c:v>
                </c:pt>
                <c:pt idx="600">
                  <c:v>-5.5274999999999999</c:v>
                </c:pt>
                <c:pt idx="601">
                  <c:v>-5.5549999999999988</c:v>
                </c:pt>
                <c:pt idx="602">
                  <c:v>-5.5825000000000005</c:v>
                </c:pt>
                <c:pt idx="603">
                  <c:v>-5.61</c:v>
                </c:pt>
                <c:pt idx="604">
                  <c:v>-5.6374999999999993</c:v>
                </c:pt>
                <c:pt idx="605">
                  <c:v>-5.6649999999999991</c:v>
                </c:pt>
                <c:pt idx="606">
                  <c:v>-5.6925000000000008</c:v>
                </c:pt>
                <c:pt idx="607">
                  <c:v>-5.7200000000000006</c:v>
                </c:pt>
                <c:pt idx="608">
                  <c:v>-5.7474999999999996</c:v>
                </c:pt>
                <c:pt idx="609">
                  <c:v>-5.7749999999999986</c:v>
                </c:pt>
                <c:pt idx="610">
                  <c:v>-5.8025000000000011</c:v>
                </c:pt>
                <c:pt idx="611">
                  <c:v>-5.83</c:v>
                </c:pt>
                <c:pt idx="612">
                  <c:v>-5.8574999999999999</c:v>
                </c:pt>
                <c:pt idx="613">
                  <c:v>-5.8849999999999989</c:v>
                </c:pt>
                <c:pt idx="614">
                  <c:v>-5.9125000000000014</c:v>
                </c:pt>
                <c:pt idx="615">
                  <c:v>-5.94</c:v>
                </c:pt>
                <c:pt idx="616">
                  <c:v>-5.9674999999999994</c:v>
                </c:pt>
                <c:pt idx="617">
                  <c:v>-5.9949999999999992</c:v>
                </c:pt>
                <c:pt idx="618">
                  <c:v>-6.0225000000000009</c:v>
                </c:pt>
                <c:pt idx="619">
                  <c:v>-6.0500000000000007</c:v>
                </c:pt>
                <c:pt idx="620">
                  <c:v>-6.0774999999999997</c:v>
                </c:pt>
                <c:pt idx="621">
                  <c:v>-6.1049999999999995</c:v>
                </c:pt>
                <c:pt idx="622">
                  <c:v>-6.1325000000000012</c:v>
                </c:pt>
                <c:pt idx="623">
                  <c:v>-6.16</c:v>
                </c:pt>
                <c:pt idx="624">
                  <c:v>-6.1875</c:v>
                </c:pt>
                <c:pt idx="625">
                  <c:v>-6.2149999999999999</c:v>
                </c:pt>
                <c:pt idx="626">
                  <c:v>-6.2424999999999988</c:v>
                </c:pt>
                <c:pt idx="627">
                  <c:v>-6.2700000000000005</c:v>
                </c:pt>
                <c:pt idx="628">
                  <c:v>-6.2975000000000003</c:v>
                </c:pt>
                <c:pt idx="629">
                  <c:v>-6.3249999999999993</c:v>
                </c:pt>
                <c:pt idx="630">
                  <c:v>-6.3524999999999991</c:v>
                </c:pt>
                <c:pt idx="631">
                  <c:v>-6.3800000000000008</c:v>
                </c:pt>
                <c:pt idx="632">
                  <c:v>-6.4075000000000006</c:v>
                </c:pt>
                <c:pt idx="633">
                  <c:v>-6.4349999999999996</c:v>
                </c:pt>
                <c:pt idx="634">
                  <c:v>-6.4624999999999986</c:v>
                </c:pt>
                <c:pt idx="635">
                  <c:v>-6.4900000000000011</c:v>
                </c:pt>
                <c:pt idx="636">
                  <c:v>-6.5175000000000001</c:v>
                </c:pt>
                <c:pt idx="637">
                  <c:v>-6.5449999999999999</c:v>
                </c:pt>
                <c:pt idx="638">
                  <c:v>-6.5724999999999989</c:v>
                </c:pt>
                <c:pt idx="639">
                  <c:v>-6.6000000000000014</c:v>
                </c:pt>
                <c:pt idx="640">
                  <c:v>-6.6275000000000004</c:v>
                </c:pt>
                <c:pt idx="641">
                  <c:v>-6.6549999999999994</c:v>
                </c:pt>
                <c:pt idx="642">
                  <c:v>-6.6824999999999992</c:v>
                </c:pt>
                <c:pt idx="643">
                  <c:v>-6.7100000000000009</c:v>
                </c:pt>
                <c:pt idx="644">
                  <c:v>-6.7375000000000007</c:v>
                </c:pt>
                <c:pt idx="645">
                  <c:v>-6.7649999999999997</c:v>
                </c:pt>
                <c:pt idx="646">
                  <c:v>-6.7924999999999995</c:v>
                </c:pt>
                <c:pt idx="647">
                  <c:v>-6.8200000000000012</c:v>
                </c:pt>
                <c:pt idx="648">
                  <c:v>-6.8475000000000001</c:v>
                </c:pt>
                <c:pt idx="649">
                  <c:v>-6.875</c:v>
                </c:pt>
                <c:pt idx="650">
                  <c:v>-6.9024999999999999</c:v>
                </c:pt>
                <c:pt idx="651">
                  <c:v>-6.9299999999999988</c:v>
                </c:pt>
                <c:pt idx="652">
                  <c:v>-6.9575000000000005</c:v>
                </c:pt>
                <c:pt idx="653">
                  <c:v>-6.9850000000000003</c:v>
                </c:pt>
                <c:pt idx="654">
                  <c:v>-7.0124999999999993</c:v>
                </c:pt>
                <c:pt idx="655">
                  <c:v>-7.0399999999999991</c:v>
                </c:pt>
                <c:pt idx="656">
                  <c:v>-7.0675000000000008</c:v>
                </c:pt>
                <c:pt idx="657">
                  <c:v>-7.0950000000000006</c:v>
                </c:pt>
                <c:pt idx="658">
                  <c:v>-7.1224999999999996</c:v>
                </c:pt>
                <c:pt idx="659">
                  <c:v>-7.1499999999999986</c:v>
                </c:pt>
                <c:pt idx="660">
                  <c:v>-7.1775000000000011</c:v>
                </c:pt>
                <c:pt idx="661">
                  <c:v>-7.2050000000000001</c:v>
                </c:pt>
                <c:pt idx="662">
                  <c:v>-7.2324999999999999</c:v>
                </c:pt>
                <c:pt idx="663">
                  <c:v>-7.2599999999999989</c:v>
                </c:pt>
                <c:pt idx="664">
                  <c:v>-7.2875000000000014</c:v>
                </c:pt>
                <c:pt idx="665">
                  <c:v>-7.3150000000000004</c:v>
                </c:pt>
                <c:pt idx="666">
                  <c:v>-7.3424999999999994</c:v>
                </c:pt>
                <c:pt idx="667">
                  <c:v>-7.3699999999999992</c:v>
                </c:pt>
                <c:pt idx="668">
                  <c:v>-7.3975000000000009</c:v>
                </c:pt>
                <c:pt idx="669">
                  <c:v>-7.4250000000000007</c:v>
                </c:pt>
                <c:pt idx="670">
                  <c:v>-7.4524999999999997</c:v>
                </c:pt>
                <c:pt idx="671">
                  <c:v>-7.4799999999999995</c:v>
                </c:pt>
                <c:pt idx="672">
                  <c:v>-7.5075000000000012</c:v>
                </c:pt>
                <c:pt idx="673">
                  <c:v>-7.5350000000000001</c:v>
                </c:pt>
                <c:pt idx="674">
                  <c:v>-7.5625</c:v>
                </c:pt>
                <c:pt idx="675">
                  <c:v>-7.59</c:v>
                </c:pt>
                <c:pt idx="676">
                  <c:v>-7.6174999999999988</c:v>
                </c:pt>
                <c:pt idx="677">
                  <c:v>-7.6450000000000005</c:v>
                </c:pt>
                <c:pt idx="678">
                  <c:v>-7.6725000000000003</c:v>
                </c:pt>
                <c:pt idx="679">
                  <c:v>-7.6999999999999993</c:v>
                </c:pt>
                <c:pt idx="680">
                  <c:v>-7.7274999999999991</c:v>
                </c:pt>
                <c:pt idx="681">
                  <c:v>-7.7550000000000008</c:v>
                </c:pt>
                <c:pt idx="682">
                  <c:v>-7.7825000000000006</c:v>
                </c:pt>
                <c:pt idx="683">
                  <c:v>-7.81</c:v>
                </c:pt>
                <c:pt idx="684">
                  <c:v>-7.8374999999999986</c:v>
                </c:pt>
                <c:pt idx="685">
                  <c:v>-7.8650000000000011</c:v>
                </c:pt>
                <c:pt idx="686">
                  <c:v>-7.8925000000000001</c:v>
                </c:pt>
                <c:pt idx="687">
                  <c:v>-7.92</c:v>
                </c:pt>
                <c:pt idx="688">
                  <c:v>-7.9474999999999989</c:v>
                </c:pt>
                <c:pt idx="689">
                  <c:v>-7.9750000000000014</c:v>
                </c:pt>
                <c:pt idx="690">
                  <c:v>-8.0025000000000013</c:v>
                </c:pt>
                <c:pt idx="691">
                  <c:v>-8.0299999999999994</c:v>
                </c:pt>
                <c:pt idx="692">
                  <c:v>-8.0574999999999992</c:v>
                </c:pt>
                <c:pt idx="693">
                  <c:v>-8.0850000000000009</c:v>
                </c:pt>
                <c:pt idx="694">
                  <c:v>-8.1125000000000007</c:v>
                </c:pt>
                <c:pt idx="695">
                  <c:v>-8.14</c:v>
                </c:pt>
                <c:pt idx="696">
                  <c:v>-8.1674999999999986</c:v>
                </c:pt>
                <c:pt idx="697">
                  <c:v>-8.1950000000000003</c:v>
                </c:pt>
                <c:pt idx="698">
                  <c:v>-8.2225000000000001</c:v>
                </c:pt>
                <c:pt idx="699">
                  <c:v>-8.25</c:v>
                </c:pt>
                <c:pt idx="700">
                  <c:v>-8.2774999999999999</c:v>
                </c:pt>
                <c:pt idx="701">
                  <c:v>-8.3049999999999997</c:v>
                </c:pt>
                <c:pt idx="702">
                  <c:v>-8.3325000000000014</c:v>
                </c:pt>
                <c:pt idx="703">
                  <c:v>-8.36</c:v>
                </c:pt>
                <c:pt idx="704">
                  <c:v>-8.3874999999999993</c:v>
                </c:pt>
                <c:pt idx="705">
                  <c:v>-8.4149999999999991</c:v>
                </c:pt>
                <c:pt idx="706">
                  <c:v>-8.4425000000000008</c:v>
                </c:pt>
                <c:pt idx="707">
                  <c:v>-8.4700000000000006</c:v>
                </c:pt>
                <c:pt idx="708">
                  <c:v>-8.4974999999999987</c:v>
                </c:pt>
                <c:pt idx="709">
                  <c:v>-8.5249999999999986</c:v>
                </c:pt>
                <c:pt idx="710">
                  <c:v>-8.5525000000000002</c:v>
                </c:pt>
                <c:pt idx="711">
                  <c:v>-8.58</c:v>
                </c:pt>
                <c:pt idx="712">
                  <c:v>-8.6074999999999999</c:v>
                </c:pt>
                <c:pt idx="713">
                  <c:v>-8.6349999999999998</c:v>
                </c:pt>
                <c:pt idx="714">
                  <c:v>-8.6625000000000014</c:v>
                </c:pt>
                <c:pt idx="715">
                  <c:v>-8.6900000000000013</c:v>
                </c:pt>
                <c:pt idx="716">
                  <c:v>-8.7174999999999994</c:v>
                </c:pt>
                <c:pt idx="717">
                  <c:v>-8.7449999999999992</c:v>
                </c:pt>
                <c:pt idx="718">
                  <c:v>-8.7725000000000009</c:v>
                </c:pt>
                <c:pt idx="719">
                  <c:v>-8.8000000000000007</c:v>
                </c:pt>
                <c:pt idx="720">
                  <c:v>-8.8275000000000006</c:v>
                </c:pt>
                <c:pt idx="721">
                  <c:v>-8.8549999999999986</c:v>
                </c:pt>
                <c:pt idx="722">
                  <c:v>-8.8825000000000003</c:v>
                </c:pt>
                <c:pt idx="723">
                  <c:v>-8.91</c:v>
                </c:pt>
                <c:pt idx="724">
                  <c:v>-8.9375</c:v>
                </c:pt>
                <c:pt idx="725">
                  <c:v>-8.9649999999999999</c:v>
                </c:pt>
                <c:pt idx="726">
                  <c:v>-8.9924999999999997</c:v>
                </c:pt>
                <c:pt idx="727">
                  <c:v>-9.0200000000000014</c:v>
                </c:pt>
                <c:pt idx="728">
                  <c:v>-9.0474999999999994</c:v>
                </c:pt>
                <c:pt idx="729">
                  <c:v>-9.0749999999999993</c:v>
                </c:pt>
                <c:pt idx="730">
                  <c:v>-9.1024999999999991</c:v>
                </c:pt>
                <c:pt idx="731">
                  <c:v>-9.1300000000000008</c:v>
                </c:pt>
                <c:pt idx="732">
                  <c:v>-9.1575000000000006</c:v>
                </c:pt>
                <c:pt idx="733">
                  <c:v>-9.1849999999999987</c:v>
                </c:pt>
                <c:pt idx="734">
                  <c:v>-9.2124999999999986</c:v>
                </c:pt>
                <c:pt idx="735">
                  <c:v>-9.24</c:v>
                </c:pt>
                <c:pt idx="736">
                  <c:v>-9.2675000000000001</c:v>
                </c:pt>
                <c:pt idx="737">
                  <c:v>-9.2949999999999999</c:v>
                </c:pt>
                <c:pt idx="738">
                  <c:v>-9.3224999999999998</c:v>
                </c:pt>
                <c:pt idx="739">
                  <c:v>-9.3500000000000014</c:v>
                </c:pt>
                <c:pt idx="740">
                  <c:v>-9.3775000000000013</c:v>
                </c:pt>
                <c:pt idx="741">
                  <c:v>-9.4049999999999994</c:v>
                </c:pt>
                <c:pt idx="742">
                  <c:v>-9.4324999999999992</c:v>
                </c:pt>
                <c:pt idx="743">
                  <c:v>-9.4600000000000009</c:v>
                </c:pt>
                <c:pt idx="744">
                  <c:v>-9.4875000000000007</c:v>
                </c:pt>
                <c:pt idx="745">
                  <c:v>-9.5150000000000006</c:v>
                </c:pt>
                <c:pt idx="746">
                  <c:v>-9.5424999999999986</c:v>
                </c:pt>
                <c:pt idx="747">
                  <c:v>-9.57</c:v>
                </c:pt>
                <c:pt idx="748">
                  <c:v>-9.5975000000000001</c:v>
                </c:pt>
                <c:pt idx="749">
                  <c:v>-9.625</c:v>
                </c:pt>
                <c:pt idx="750">
                  <c:v>-9.6524999999999999</c:v>
                </c:pt>
                <c:pt idx="751">
                  <c:v>-9.68</c:v>
                </c:pt>
                <c:pt idx="752">
                  <c:v>-9.7075000000000014</c:v>
                </c:pt>
                <c:pt idx="753">
                  <c:v>-9.7349999999999994</c:v>
                </c:pt>
                <c:pt idx="754">
                  <c:v>-9.7624999999999993</c:v>
                </c:pt>
                <c:pt idx="755">
                  <c:v>-9.7899999999999991</c:v>
                </c:pt>
                <c:pt idx="756">
                  <c:v>-9.8175000000000008</c:v>
                </c:pt>
                <c:pt idx="757">
                  <c:v>-9.8450000000000006</c:v>
                </c:pt>
                <c:pt idx="758">
                  <c:v>-9.8724999999999987</c:v>
                </c:pt>
                <c:pt idx="759">
                  <c:v>-9.8999999999999986</c:v>
                </c:pt>
                <c:pt idx="760">
                  <c:v>-9.9275000000000002</c:v>
                </c:pt>
                <c:pt idx="761">
                  <c:v>-9.9550000000000001</c:v>
                </c:pt>
                <c:pt idx="762">
                  <c:v>-9.9824999999999999</c:v>
                </c:pt>
                <c:pt idx="763">
                  <c:v>-10.01</c:v>
                </c:pt>
                <c:pt idx="764">
                  <c:v>-10.037500000000001</c:v>
                </c:pt>
                <c:pt idx="765">
                  <c:v>-10.065000000000001</c:v>
                </c:pt>
                <c:pt idx="766">
                  <c:v>-10.092499999999999</c:v>
                </c:pt>
                <c:pt idx="767">
                  <c:v>-10.119999999999999</c:v>
                </c:pt>
                <c:pt idx="768">
                  <c:v>-10.147500000000001</c:v>
                </c:pt>
                <c:pt idx="769">
                  <c:v>-10.175000000000001</c:v>
                </c:pt>
                <c:pt idx="770">
                  <c:v>-10.202500000000001</c:v>
                </c:pt>
                <c:pt idx="771">
                  <c:v>-10.229999999999999</c:v>
                </c:pt>
                <c:pt idx="772">
                  <c:v>-10.2575</c:v>
                </c:pt>
                <c:pt idx="773">
                  <c:v>-10.285</c:v>
                </c:pt>
                <c:pt idx="774">
                  <c:v>-10.3125</c:v>
                </c:pt>
                <c:pt idx="775">
                  <c:v>-10.34</c:v>
                </c:pt>
                <c:pt idx="776">
                  <c:v>-10.3675</c:v>
                </c:pt>
                <c:pt idx="777">
                  <c:v>-10.395000000000001</c:v>
                </c:pt>
                <c:pt idx="778">
                  <c:v>-10.422499999999999</c:v>
                </c:pt>
                <c:pt idx="779">
                  <c:v>-10.45</c:v>
                </c:pt>
                <c:pt idx="780">
                  <c:v>-10.477499999999999</c:v>
                </c:pt>
                <c:pt idx="781">
                  <c:v>-10.505000000000001</c:v>
                </c:pt>
                <c:pt idx="782">
                  <c:v>-10.532500000000001</c:v>
                </c:pt>
                <c:pt idx="783">
                  <c:v>-10.559999999999999</c:v>
                </c:pt>
                <c:pt idx="784">
                  <c:v>-10.587499999999999</c:v>
                </c:pt>
                <c:pt idx="785">
                  <c:v>-10.615</c:v>
                </c:pt>
                <c:pt idx="786">
                  <c:v>-10.6425</c:v>
                </c:pt>
                <c:pt idx="787">
                  <c:v>-10.67</c:v>
                </c:pt>
                <c:pt idx="788">
                  <c:v>-10.6975</c:v>
                </c:pt>
                <c:pt idx="789">
                  <c:v>-10.725000000000001</c:v>
                </c:pt>
                <c:pt idx="790">
                  <c:v>-10.752500000000001</c:v>
                </c:pt>
                <c:pt idx="791">
                  <c:v>-10.78</c:v>
                </c:pt>
                <c:pt idx="792">
                  <c:v>-10.807499999999999</c:v>
                </c:pt>
                <c:pt idx="793">
                  <c:v>-10.835000000000001</c:v>
                </c:pt>
                <c:pt idx="794">
                  <c:v>-10.862500000000001</c:v>
                </c:pt>
                <c:pt idx="795">
                  <c:v>-10.89</c:v>
                </c:pt>
                <c:pt idx="796">
                  <c:v>-10.917499999999999</c:v>
                </c:pt>
                <c:pt idx="797">
                  <c:v>-10.945</c:v>
                </c:pt>
                <c:pt idx="798">
                  <c:v>-10.9725</c:v>
                </c:pt>
                <c:pt idx="799">
                  <c:v>-11</c:v>
                </c:pt>
                <c:pt idx="800">
                  <c:v>-11.0275</c:v>
                </c:pt>
                <c:pt idx="801">
                  <c:v>-11.055</c:v>
                </c:pt>
                <c:pt idx="802">
                  <c:v>-11.082499999999998</c:v>
                </c:pt>
                <c:pt idx="803">
                  <c:v>-11.109999999999998</c:v>
                </c:pt>
                <c:pt idx="804">
                  <c:v>-11.137500000000003</c:v>
                </c:pt>
                <c:pt idx="805">
                  <c:v>-11.165000000000001</c:v>
                </c:pt>
                <c:pt idx="806">
                  <c:v>-11.192500000000001</c:v>
                </c:pt>
                <c:pt idx="807">
                  <c:v>-11.22</c:v>
                </c:pt>
                <c:pt idx="808">
                  <c:v>-11.247499999999999</c:v>
                </c:pt>
                <c:pt idx="809">
                  <c:v>-11.274999999999999</c:v>
                </c:pt>
                <c:pt idx="810">
                  <c:v>-11.302499999999998</c:v>
                </c:pt>
                <c:pt idx="811">
                  <c:v>-11.329999999999998</c:v>
                </c:pt>
                <c:pt idx="812">
                  <c:v>-11.357500000000002</c:v>
                </c:pt>
                <c:pt idx="813">
                  <c:v>-11.385000000000002</c:v>
                </c:pt>
                <c:pt idx="814">
                  <c:v>-11.412500000000001</c:v>
                </c:pt>
                <c:pt idx="815">
                  <c:v>-11.440000000000001</c:v>
                </c:pt>
                <c:pt idx="816">
                  <c:v>-11.467499999999999</c:v>
                </c:pt>
                <c:pt idx="817">
                  <c:v>-11.494999999999999</c:v>
                </c:pt>
                <c:pt idx="818">
                  <c:v>-11.522499999999999</c:v>
                </c:pt>
                <c:pt idx="819">
                  <c:v>-11.549999999999997</c:v>
                </c:pt>
                <c:pt idx="820">
                  <c:v>-11.577500000000002</c:v>
                </c:pt>
                <c:pt idx="821">
                  <c:v>-11.605000000000002</c:v>
                </c:pt>
                <c:pt idx="822">
                  <c:v>-11.6325</c:v>
                </c:pt>
                <c:pt idx="823">
                  <c:v>-11.66</c:v>
                </c:pt>
                <c:pt idx="824">
                  <c:v>-11.6875</c:v>
                </c:pt>
                <c:pt idx="825">
                  <c:v>-11.715</c:v>
                </c:pt>
                <c:pt idx="826">
                  <c:v>-11.7425</c:v>
                </c:pt>
                <c:pt idx="827">
                  <c:v>-11.769999999999998</c:v>
                </c:pt>
                <c:pt idx="828">
                  <c:v>-11.797499999999998</c:v>
                </c:pt>
                <c:pt idx="829">
                  <c:v>-11.825000000000003</c:v>
                </c:pt>
                <c:pt idx="830">
                  <c:v>-11.852500000000001</c:v>
                </c:pt>
                <c:pt idx="831">
                  <c:v>-11.88</c:v>
                </c:pt>
                <c:pt idx="832">
                  <c:v>-11.907500000000001</c:v>
                </c:pt>
                <c:pt idx="833">
                  <c:v>-11.934999999999999</c:v>
                </c:pt>
                <c:pt idx="834">
                  <c:v>-11.962499999999999</c:v>
                </c:pt>
                <c:pt idx="835">
                  <c:v>-11.989999999999998</c:v>
                </c:pt>
                <c:pt idx="836">
                  <c:v>-12.017499999999998</c:v>
                </c:pt>
                <c:pt idx="837">
                  <c:v>-12.045000000000002</c:v>
                </c:pt>
                <c:pt idx="838">
                  <c:v>-12.072500000000002</c:v>
                </c:pt>
                <c:pt idx="839">
                  <c:v>-12.100000000000001</c:v>
                </c:pt>
                <c:pt idx="840">
                  <c:v>-12.127500000000001</c:v>
                </c:pt>
                <c:pt idx="841">
                  <c:v>-12.154999999999999</c:v>
                </c:pt>
                <c:pt idx="842">
                  <c:v>-12.182499999999999</c:v>
                </c:pt>
                <c:pt idx="843">
                  <c:v>-12.209999999999999</c:v>
                </c:pt>
                <c:pt idx="844">
                  <c:v>-12.237499999999997</c:v>
                </c:pt>
                <c:pt idx="845">
                  <c:v>-12.265000000000002</c:v>
                </c:pt>
                <c:pt idx="846">
                  <c:v>-12.292500000000002</c:v>
                </c:pt>
                <c:pt idx="847">
                  <c:v>-12.32</c:v>
                </c:pt>
                <c:pt idx="848">
                  <c:v>-12.3475</c:v>
                </c:pt>
                <c:pt idx="849">
                  <c:v>-12.375</c:v>
                </c:pt>
                <c:pt idx="850">
                  <c:v>-12.4025</c:v>
                </c:pt>
                <c:pt idx="851">
                  <c:v>-12.43</c:v>
                </c:pt>
                <c:pt idx="852">
                  <c:v>-12.457499999999998</c:v>
                </c:pt>
                <c:pt idx="853">
                  <c:v>-12.484999999999998</c:v>
                </c:pt>
                <c:pt idx="854">
                  <c:v>-12.512500000000003</c:v>
                </c:pt>
                <c:pt idx="855">
                  <c:v>-12.540000000000001</c:v>
                </c:pt>
                <c:pt idx="856">
                  <c:v>-12.567500000000001</c:v>
                </c:pt>
                <c:pt idx="857">
                  <c:v>-12.595000000000001</c:v>
                </c:pt>
                <c:pt idx="858">
                  <c:v>-12.622499999999999</c:v>
                </c:pt>
                <c:pt idx="859">
                  <c:v>-12.649999999999999</c:v>
                </c:pt>
                <c:pt idx="860">
                  <c:v>-12.677499999999998</c:v>
                </c:pt>
                <c:pt idx="861">
                  <c:v>-12.704999999999998</c:v>
                </c:pt>
                <c:pt idx="862">
                  <c:v>-12.732500000000002</c:v>
                </c:pt>
                <c:pt idx="863">
                  <c:v>-12.760000000000002</c:v>
                </c:pt>
                <c:pt idx="864">
                  <c:v>-12.787500000000001</c:v>
                </c:pt>
                <c:pt idx="865">
                  <c:v>-12.815000000000001</c:v>
                </c:pt>
                <c:pt idx="866">
                  <c:v>-12.842499999999999</c:v>
                </c:pt>
                <c:pt idx="867">
                  <c:v>-12.87</c:v>
                </c:pt>
                <c:pt idx="868">
                  <c:v>-12.897499999999999</c:v>
                </c:pt>
                <c:pt idx="869">
                  <c:v>-12.924999999999997</c:v>
                </c:pt>
                <c:pt idx="870">
                  <c:v>-12.952500000000002</c:v>
                </c:pt>
                <c:pt idx="871">
                  <c:v>-12.980000000000002</c:v>
                </c:pt>
                <c:pt idx="872">
                  <c:v>-13.0075</c:v>
                </c:pt>
                <c:pt idx="873">
                  <c:v>-13.035</c:v>
                </c:pt>
                <c:pt idx="874">
                  <c:v>-13.0625</c:v>
                </c:pt>
                <c:pt idx="875">
                  <c:v>-13.09</c:v>
                </c:pt>
                <c:pt idx="876">
                  <c:v>-13.1175</c:v>
                </c:pt>
                <c:pt idx="877">
                  <c:v>-13.144999999999998</c:v>
                </c:pt>
                <c:pt idx="878">
                  <c:v>-13.172499999999998</c:v>
                </c:pt>
                <c:pt idx="879">
                  <c:v>-13.200000000000003</c:v>
                </c:pt>
                <c:pt idx="880">
                  <c:v>-13.227500000000001</c:v>
                </c:pt>
                <c:pt idx="881">
                  <c:v>-13.255000000000001</c:v>
                </c:pt>
                <c:pt idx="882">
                  <c:v>-13.282500000000001</c:v>
                </c:pt>
                <c:pt idx="883">
                  <c:v>-13.309999999999999</c:v>
                </c:pt>
                <c:pt idx="884">
                  <c:v>-13.337499999999999</c:v>
                </c:pt>
                <c:pt idx="885">
                  <c:v>-13.364999999999998</c:v>
                </c:pt>
                <c:pt idx="886">
                  <c:v>-13.392499999999998</c:v>
                </c:pt>
                <c:pt idx="887">
                  <c:v>-13.420000000000002</c:v>
                </c:pt>
                <c:pt idx="888">
                  <c:v>-13.447500000000002</c:v>
                </c:pt>
                <c:pt idx="889">
                  <c:v>-13.475000000000001</c:v>
                </c:pt>
                <c:pt idx="890">
                  <c:v>-13.502500000000001</c:v>
                </c:pt>
                <c:pt idx="891">
                  <c:v>-13.53</c:v>
                </c:pt>
                <c:pt idx="892">
                  <c:v>-13.557499999999999</c:v>
                </c:pt>
                <c:pt idx="893">
                  <c:v>-13.584999999999999</c:v>
                </c:pt>
                <c:pt idx="894">
                  <c:v>-13.612499999999997</c:v>
                </c:pt>
                <c:pt idx="895">
                  <c:v>-13.640000000000002</c:v>
                </c:pt>
                <c:pt idx="896">
                  <c:v>-13.667500000000002</c:v>
                </c:pt>
                <c:pt idx="897">
                  <c:v>-13.695</c:v>
                </c:pt>
                <c:pt idx="898">
                  <c:v>-13.7225</c:v>
                </c:pt>
                <c:pt idx="899">
                  <c:v>-13.75</c:v>
                </c:pt>
                <c:pt idx="900">
                  <c:v>-13.7775</c:v>
                </c:pt>
                <c:pt idx="901">
                  <c:v>-13.805</c:v>
                </c:pt>
                <c:pt idx="902">
                  <c:v>-13.832499999999998</c:v>
                </c:pt>
                <c:pt idx="903">
                  <c:v>-13.859999999999998</c:v>
                </c:pt>
                <c:pt idx="904">
                  <c:v>-13.887500000000003</c:v>
                </c:pt>
                <c:pt idx="905">
                  <c:v>-13.915000000000001</c:v>
                </c:pt>
                <c:pt idx="906">
                  <c:v>-13.942500000000001</c:v>
                </c:pt>
                <c:pt idx="907">
                  <c:v>-13.97</c:v>
                </c:pt>
                <c:pt idx="908">
                  <c:v>-13.997499999999999</c:v>
                </c:pt>
                <c:pt idx="909">
                  <c:v>-14.024999999999999</c:v>
                </c:pt>
                <c:pt idx="910">
                  <c:v>-14.052499999999998</c:v>
                </c:pt>
                <c:pt idx="911">
                  <c:v>-14.079999999999998</c:v>
                </c:pt>
                <c:pt idx="912">
                  <c:v>-14.107500000000002</c:v>
                </c:pt>
                <c:pt idx="913">
                  <c:v>-14.135000000000002</c:v>
                </c:pt>
                <c:pt idx="914">
                  <c:v>-14.162500000000001</c:v>
                </c:pt>
                <c:pt idx="915">
                  <c:v>-14.190000000000001</c:v>
                </c:pt>
                <c:pt idx="916">
                  <c:v>-14.217499999999999</c:v>
                </c:pt>
                <c:pt idx="917">
                  <c:v>-14.244999999999999</c:v>
                </c:pt>
                <c:pt idx="918">
                  <c:v>-14.272499999999999</c:v>
                </c:pt>
                <c:pt idx="919">
                  <c:v>-14.299999999999997</c:v>
                </c:pt>
                <c:pt idx="920">
                  <c:v>-14.327500000000002</c:v>
                </c:pt>
                <c:pt idx="921">
                  <c:v>-14.355000000000002</c:v>
                </c:pt>
                <c:pt idx="922">
                  <c:v>-14.3825</c:v>
                </c:pt>
                <c:pt idx="923">
                  <c:v>-14.41</c:v>
                </c:pt>
                <c:pt idx="924">
                  <c:v>-14.4375</c:v>
                </c:pt>
                <c:pt idx="925">
                  <c:v>-14.465</c:v>
                </c:pt>
                <c:pt idx="926">
                  <c:v>-14.4925</c:v>
                </c:pt>
                <c:pt idx="927">
                  <c:v>-14.519999999999998</c:v>
                </c:pt>
                <c:pt idx="928">
                  <c:v>-14.547499999999998</c:v>
                </c:pt>
                <c:pt idx="929">
                  <c:v>-14.575000000000003</c:v>
                </c:pt>
                <c:pt idx="930">
                  <c:v>-14.602500000000001</c:v>
                </c:pt>
                <c:pt idx="931">
                  <c:v>-14.63</c:v>
                </c:pt>
                <c:pt idx="932">
                  <c:v>-14.657500000000001</c:v>
                </c:pt>
                <c:pt idx="933">
                  <c:v>-14.684999999999999</c:v>
                </c:pt>
                <c:pt idx="934">
                  <c:v>-14.712499999999999</c:v>
                </c:pt>
                <c:pt idx="935">
                  <c:v>-14.739999999999998</c:v>
                </c:pt>
                <c:pt idx="936">
                  <c:v>-14.767499999999998</c:v>
                </c:pt>
                <c:pt idx="937">
                  <c:v>-14.795000000000002</c:v>
                </c:pt>
                <c:pt idx="938">
                  <c:v>-14.822500000000002</c:v>
                </c:pt>
                <c:pt idx="939">
                  <c:v>-14.850000000000001</c:v>
                </c:pt>
                <c:pt idx="940">
                  <c:v>-14.877500000000001</c:v>
                </c:pt>
                <c:pt idx="941">
                  <c:v>-14.904999999999999</c:v>
                </c:pt>
                <c:pt idx="942">
                  <c:v>-14.932499999999999</c:v>
                </c:pt>
                <c:pt idx="943">
                  <c:v>-14.959999999999999</c:v>
                </c:pt>
                <c:pt idx="944">
                  <c:v>-14.987499999999997</c:v>
                </c:pt>
                <c:pt idx="945">
                  <c:v>-15.015000000000002</c:v>
                </c:pt>
                <c:pt idx="946">
                  <c:v>-15.042500000000002</c:v>
                </c:pt>
                <c:pt idx="947">
                  <c:v>-15.07</c:v>
                </c:pt>
                <c:pt idx="948">
                  <c:v>-15.0975</c:v>
                </c:pt>
                <c:pt idx="949">
                  <c:v>-15.125</c:v>
                </c:pt>
                <c:pt idx="950">
                  <c:v>-15.1525</c:v>
                </c:pt>
                <c:pt idx="951">
                  <c:v>-15.18</c:v>
                </c:pt>
                <c:pt idx="952">
                  <c:v>-15.207499999999998</c:v>
                </c:pt>
                <c:pt idx="953">
                  <c:v>-15.234999999999998</c:v>
                </c:pt>
                <c:pt idx="954">
                  <c:v>-15.262500000000003</c:v>
                </c:pt>
                <c:pt idx="955">
                  <c:v>-15.290000000000001</c:v>
                </c:pt>
                <c:pt idx="956">
                  <c:v>-15.317500000000001</c:v>
                </c:pt>
                <c:pt idx="957">
                  <c:v>-15.345000000000001</c:v>
                </c:pt>
                <c:pt idx="958">
                  <c:v>-15.372499999999999</c:v>
                </c:pt>
                <c:pt idx="959">
                  <c:v>-15.399999999999999</c:v>
                </c:pt>
                <c:pt idx="960">
                  <c:v>-15.427499999999998</c:v>
                </c:pt>
                <c:pt idx="961">
                  <c:v>-15.454999999999998</c:v>
                </c:pt>
                <c:pt idx="962">
                  <c:v>-15.482500000000002</c:v>
                </c:pt>
                <c:pt idx="963">
                  <c:v>-15.510000000000002</c:v>
                </c:pt>
                <c:pt idx="964">
                  <c:v>-15.537500000000001</c:v>
                </c:pt>
                <c:pt idx="965">
                  <c:v>-15.565000000000001</c:v>
                </c:pt>
                <c:pt idx="966">
                  <c:v>-15.592499999999999</c:v>
                </c:pt>
                <c:pt idx="967">
                  <c:v>-15.62</c:v>
                </c:pt>
                <c:pt idx="968">
                  <c:v>-15.647499999999999</c:v>
                </c:pt>
                <c:pt idx="969">
                  <c:v>-15.674999999999997</c:v>
                </c:pt>
                <c:pt idx="970">
                  <c:v>-15.702500000000002</c:v>
                </c:pt>
                <c:pt idx="971">
                  <c:v>-15.730000000000002</c:v>
                </c:pt>
                <c:pt idx="972">
                  <c:v>-15.7575</c:v>
                </c:pt>
                <c:pt idx="973">
                  <c:v>-15.785</c:v>
                </c:pt>
                <c:pt idx="974">
                  <c:v>-15.8125</c:v>
                </c:pt>
                <c:pt idx="975">
                  <c:v>-15.84</c:v>
                </c:pt>
                <c:pt idx="976">
                  <c:v>-15.8675</c:v>
                </c:pt>
                <c:pt idx="977">
                  <c:v>-15.894999999999998</c:v>
                </c:pt>
                <c:pt idx="978">
                  <c:v>-15.922499999999998</c:v>
                </c:pt>
                <c:pt idx="979">
                  <c:v>-15.950000000000003</c:v>
                </c:pt>
                <c:pt idx="980">
                  <c:v>-15.977500000000001</c:v>
                </c:pt>
                <c:pt idx="981">
                  <c:v>-16.005000000000003</c:v>
                </c:pt>
                <c:pt idx="982">
                  <c:v>-16.032499999999999</c:v>
                </c:pt>
                <c:pt idx="983">
                  <c:v>-16.059999999999999</c:v>
                </c:pt>
                <c:pt idx="984">
                  <c:v>-16.087499999999999</c:v>
                </c:pt>
                <c:pt idx="985">
                  <c:v>-16.114999999999998</c:v>
                </c:pt>
                <c:pt idx="986">
                  <c:v>-16.142499999999998</c:v>
                </c:pt>
                <c:pt idx="987">
                  <c:v>-16.170000000000002</c:v>
                </c:pt>
                <c:pt idx="988">
                  <c:v>-16.197500000000002</c:v>
                </c:pt>
                <c:pt idx="989">
                  <c:v>-16.225000000000001</c:v>
                </c:pt>
                <c:pt idx="990">
                  <c:v>-16.252500000000001</c:v>
                </c:pt>
                <c:pt idx="991">
                  <c:v>-16.28</c:v>
                </c:pt>
                <c:pt idx="992">
                  <c:v>-16.307499999999997</c:v>
                </c:pt>
                <c:pt idx="993">
                  <c:v>-16.334999999999997</c:v>
                </c:pt>
                <c:pt idx="994">
                  <c:v>-16.362499999999997</c:v>
                </c:pt>
                <c:pt idx="995">
                  <c:v>-16.39</c:v>
                </c:pt>
                <c:pt idx="996">
                  <c:v>-16.4175</c:v>
                </c:pt>
                <c:pt idx="997">
                  <c:v>-16.445</c:v>
                </c:pt>
                <c:pt idx="998">
                  <c:v>-16.4725</c:v>
                </c:pt>
                <c:pt idx="999">
                  <c:v>-16.5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2-40DE-95F7-99D08C40F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1944639"/>
        <c:axId val="1411949215"/>
      </c:lineChart>
      <c:catAx>
        <c:axId val="14119446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1949215"/>
        <c:crosses val="autoZero"/>
        <c:auto val="1"/>
        <c:lblAlgn val="ctr"/>
        <c:lblOffset val="100"/>
        <c:noMultiLvlLbl val="0"/>
      </c:catAx>
      <c:valAx>
        <c:axId val="141194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194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14287</xdr:rowOff>
    </xdr:from>
    <xdr:to>
      <xdr:col>11</xdr:col>
      <xdr:colOff>314325</xdr:colOff>
      <xdr:row>16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06D3504-8C14-4964-9241-5655C390F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14287</xdr:rowOff>
    </xdr:from>
    <xdr:to>
      <xdr:col>11</xdr:col>
      <xdr:colOff>295275</xdr:colOff>
      <xdr:row>15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EA699D-729D-4C06-9229-AF363AFE48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190500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180975</xdr:rowOff>
        </xdr:from>
        <xdr:to>
          <xdr:col>9</xdr:col>
          <xdr:colOff>0</xdr:colOff>
          <xdr:row>14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171450</xdr:rowOff>
        </xdr:from>
        <xdr:to>
          <xdr:col>9</xdr:col>
          <xdr:colOff>0</xdr:colOff>
          <xdr:row>28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9</xdr:row>
          <xdr:rowOff>152400</xdr:rowOff>
        </xdr:from>
        <xdr:to>
          <xdr:col>12</xdr:col>
          <xdr:colOff>590550</xdr:colOff>
          <xdr:row>14</xdr:row>
          <xdr:rowOff>180975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16</xdr:row>
          <xdr:rowOff>180975</xdr:rowOff>
        </xdr:from>
        <xdr:to>
          <xdr:col>12</xdr:col>
          <xdr:colOff>600075</xdr:colOff>
          <xdr:row>22</xdr:row>
          <xdr:rowOff>19050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2</xdr:row>
          <xdr:rowOff>180975</xdr:rowOff>
        </xdr:from>
        <xdr:to>
          <xdr:col>12</xdr:col>
          <xdr:colOff>590550</xdr:colOff>
          <xdr:row>7</xdr:row>
          <xdr:rowOff>180975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23</xdr:row>
          <xdr:rowOff>142875</xdr:rowOff>
        </xdr:from>
        <xdr:to>
          <xdr:col>12</xdr:col>
          <xdr:colOff>581025</xdr:colOff>
          <xdr:row>28</xdr:row>
          <xdr:rowOff>171450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2</xdr:row>
          <xdr:rowOff>19050</xdr:rowOff>
        </xdr:from>
        <xdr:to>
          <xdr:col>9</xdr:col>
          <xdr:colOff>238125</xdr:colOff>
          <xdr:row>7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 PLACAR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3</xdr:row>
          <xdr:rowOff>19050</xdr:rowOff>
        </xdr:from>
        <xdr:to>
          <xdr:col>27</xdr:col>
          <xdr:colOff>38100</xdr:colOff>
          <xdr:row>5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 TABULEIRO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6</xdr:row>
          <xdr:rowOff>66675</xdr:rowOff>
        </xdr:from>
        <xdr:to>
          <xdr:col>27</xdr:col>
          <xdr:colOff>19050</xdr:colOff>
          <xdr:row>8</xdr:row>
          <xdr:rowOff>333375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ATIRAR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B856C-E38F-4D2B-93D5-94C60CA7B2EC}">
  <sheetPr codeName="Planilha1"/>
  <dimension ref="B1:I40"/>
  <sheetViews>
    <sheetView showGridLines="0" showRowColHeaders="0" workbookViewId="0">
      <selection activeCell="N11" sqref="N11"/>
    </sheetView>
  </sheetViews>
  <sheetFormatPr defaultRowHeight="15" x14ac:dyDescent="0.25"/>
  <cols>
    <col min="2" max="2" width="16.140625" customWidth="1"/>
    <col min="3" max="3" width="13.140625" customWidth="1"/>
    <col min="6" max="6" width="13.5703125" customWidth="1"/>
    <col min="7" max="7" width="15.140625" customWidth="1"/>
    <col min="8" max="8" width="11.5703125" customWidth="1"/>
    <col min="9" max="9" width="14.28515625" customWidth="1"/>
  </cols>
  <sheetData>
    <row r="1" spans="2:9" ht="15.75" thickBot="1" x14ac:dyDescent="0.3"/>
    <row r="2" spans="2:9" x14ac:dyDescent="0.25">
      <c r="B2" s="17" t="s">
        <v>5</v>
      </c>
      <c r="C2" s="18">
        <v>130000</v>
      </c>
      <c r="D2" s="1"/>
      <c r="E2" s="74" t="s">
        <v>16</v>
      </c>
      <c r="F2" s="75"/>
      <c r="G2" s="75"/>
      <c r="H2" s="75"/>
      <c r="I2" s="76"/>
    </row>
    <row r="3" spans="2:9" ht="15.75" thickBot="1" x14ac:dyDescent="0.3">
      <c r="B3" s="19" t="s">
        <v>6</v>
      </c>
      <c r="C3" s="20">
        <v>0.02</v>
      </c>
      <c r="E3" s="25" t="s">
        <v>0</v>
      </c>
      <c r="F3" s="14" t="s">
        <v>1</v>
      </c>
      <c r="G3" s="14" t="s">
        <v>2</v>
      </c>
      <c r="H3" s="14" t="s">
        <v>3</v>
      </c>
      <c r="I3" s="26" t="s">
        <v>4</v>
      </c>
    </row>
    <row r="4" spans="2:9" ht="15.75" thickBot="1" x14ac:dyDescent="0.3">
      <c r="E4" s="4">
        <v>0</v>
      </c>
      <c r="F4" s="5">
        <v>0</v>
      </c>
      <c r="G4" s="5">
        <v>0</v>
      </c>
      <c r="H4" s="5">
        <v>0</v>
      </c>
      <c r="I4" s="6">
        <v>250000</v>
      </c>
    </row>
    <row r="5" spans="2:9" ht="15.75" thickBot="1" x14ac:dyDescent="0.3">
      <c r="B5" s="11" t="s">
        <v>7</v>
      </c>
      <c r="C5" s="21">
        <f>SUM(H5:H28)</f>
        <v>235397.11558678909</v>
      </c>
      <c r="E5" s="4">
        <v>1</v>
      </c>
      <c r="F5" s="7">
        <f>H5-G5</f>
        <v>4808.2131494495407</v>
      </c>
      <c r="G5" s="7">
        <f t="shared" ref="G5:G40" si="0">I4*$C$3</f>
        <v>5000</v>
      </c>
      <c r="H5" s="7">
        <f t="shared" ref="H5:H40" si="1">$I$4*((1+$C$3)^$E$40*$C$3)/((1+$C$3)^$E$40-1)</f>
        <v>9808.2131494495407</v>
      </c>
      <c r="I5" s="6">
        <f>I4-F5</f>
        <v>245191.78685055044</v>
      </c>
    </row>
    <row r="6" spans="2:9" x14ac:dyDescent="0.25">
      <c r="E6" s="4">
        <v>2</v>
      </c>
      <c r="F6" s="7">
        <f t="shared" ref="F6:F40" si="2">H6-G6</f>
        <v>4904.3774124385318</v>
      </c>
      <c r="G6" s="7">
        <f t="shared" si="0"/>
        <v>4903.8357370110089</v>
      </c>
      <c r="H6" s="7">
        <f t="shared" si="1"/>
        <v>9808.2131494495407</v>
      </c>
      <c r="I6" s="6">
        <f t="shared" ref="I6:I40" si="3">I5-F6</f>
        <v>240287.40943811191</v>
      </c>
    </row>
    <row r="7" spans="2:9" x14ac:dyDescent="0.25">
      <c r="E7" s="4">
        <v>3</v>
      </c>
      <c r="F7" s="7">
        <f t="shared" si="2"/>
        <v>5002.4649606873027</v>
      </c>
      <c r="G7" s="7">
        <f t="shared" si="0"/>
        <v>4805.748188762238</v>
      </c>
      <c r="H7" s="7">
        <f t="shared" si="1"/>
        <v>9808.2131494495407</v>
      </c>
      <c r="I7" s="6">
        <f t="shared" si="3"/>
        <v>235284.94447742461</v>
      </c>
    </row>
    <row r="8" spans="2:9" x14ac:dyDescent="0.25">
      <c r="E8" s="4">
        <v>4</v>
      </c>
      <c r="F8" s="7">
        <f t="shared" si="2"/>
        <v>5102.5142599010487</v>
      </c>
      <c r="G8" s="7">
        <f t="shared" si="0"/>
        <v>4705.6988895484919</v>
      </c>
      <c r="H8" s="7">
        <f t="shared" si="1"/>
        <v>9808.2131494495407</v>
      </c>
      <c r="I8" s="6">
        <f t="shared" si="3"/>
        <v>230182.43021752356</v>
      </c>
    </row>
    <row r="9" spans="2:9" x14ac:dyDescent="0.25">
      <c r="E9" s="4">
        <v>5</v>
      </c>
      <c r="F9" s="7">
        <f t="shared" si="2"/>
        <v>5204.5645450990696</v>
      </c>
      <c r="G9" s="7">
        <f t="shared" si="0"/>
        <v>4603.648604350471</v>
      </c>
      <c r="H9" s="7">
        <f t="shared" si="1"/>
        <v>9808.2131494495407</v>
      </c>
      <c r="I9" s="6">
        <f t="shared" si="3"/>
        <v>224977.86567242449</v>
      </c>
    </row>
    <row r="10" spans="2:9" x14ac:dyDescent="0.25">
      <c r="E10" s="4">
        <v>6</v>
      </c>
      <c r="F10" s="7">
        <f t="shared" si="2"/>
        <v>5308.6558360010504</v>
      </c>
      <c r="G10" s="7">
        <f t="shared" si="0"/>
        <v>4499.5573134484903</v>
      </c>
      <c r="H10" s="7">
        <f t="shared" si="1"/>
        <v>9808.2131494495407</v>
      </c>
      <c r="I10" s="6">
        <f t="shared" si="3"/>
        <v>219669.20983642346</v>
      </c>
    </row>
    <row r="11" spans="2:9" x14ac:dyDescent="0.25">
      <c r="E11" s="4">
        <v>7</v>
      </c>
      <c r="F11" s="7">
        <f t="shared" si="2"/>
        <v>5414.8289527210718</v>
      </c>
      <c r="G11" s="7">
        <f t="shared" si="0"/>
        <v>4393.3841967284689</v>
      </c>
      <c r="H11" s="7">
        <f t="shared" si="1"/>
        <v>9808.2131494495407</v>
      </c>
      <c r="I11" s="6">
        <f t="shared" si="3"/>
        <v>214254.3808837024</v>
      </c>
    </row>
    <row r="12" spans="2:9" x14ac:dyDescent="0.25">
      <c r="E12" s="4">
        <v>8</v>
      </c>
      <c r="F12" s="7">
        <f t="shared" si="2"/>
        <v>5523.1255317754931</v>
      </c>
      <c r="G12" s="7">
        <f t="shared" si="0"/>
        <v>4285.0876176740476</v>
      </c>
      <c r="H12" s="7">
        <f t="shared" si="1"/>
        <v>9808.2131494495407</v>
      </c>
      <c r="I12" s="6">
        <f t="shared" si="3"/>
        <v>208731.2553519269</v>
      </c>
    </row>
    <row r="13" spans="2:9" x14ac:dyDescent="0.25">
      <c r="E13" s="4">
        <v>9</v>
      </c>
      <c r="F13" s="7">
        <f t="shared" si="2"/>
        <v>5633.5880424110028</v>
      </c>
      <c r="G13" s="7">
        <f t="shared" si="0"/>
        <v>4174.6251070385379</v>
      </c>
      <c r="H13" s="7">
        <f t="shared" si="1"/>
        <v>9808.2131494495407</v>
      </c>
      <c r="I13" s="6">
        <f t="shared" si="3"/>
        <v>203097.66730951591</v>
      </c>
    </row>
    <row r="14" spans="2:9" x14ac:dyDescent="0.25">
      <c r="E14" s="4">
        <v>10</v>
      </c>
      <c r="F14" s="7">
        <f t="shared" si="2"/>
        <v>5746.2598032592223</v>
      </c>
      <c r="G14" s="7">
        <f t="shared" si="0"/>
        <v>4061.9533461903184</v>
      </c>
      <c r="H14" s="7">
        <f t="shared" si="1"/>
        <v>9808.2131494495407</v>
      </c>
      <c r="I14" s="6">
        <f t="shared" si="3"/>
        <v>197351.40750625668</v>
      </c>
    </row>
    <row r="15" spans="2:9" x14ac:dyDescent="0.25">
      <c r="E15" s="4">
        <v>11</v>
      </c>
      <c r="F15" s="7">
        <f t="shared" si="2"/>
        <v>5861.1849993244068</v>
      </c>
      <c r="G15" s="7">
        <f t="shared" si="0"/>
        <v>3947.0281501251338</v>
      </c>
      <c r="H15" s="7">
        <f t="shared" si="1"/>
        <v>9808.2131494495407</v>
      </c>
      <c r="I15" s="6">
        <f t="shared" si="3"/>
        <v>191490.22250693227</v>
      </c>
    </row>
    <row r="16" spans="2:9" x14ac:dyDescent="0.25">
      <c r="E16" s="4">
        <v>12</v>
      </c>
      <c r="F16" s="7">
        <f t="shared" si="2"/>
        <v>5978.4086993108949</v>
      </c>
      <c r="G16" s="7">
        <f t="shared" si="0"/>
        <v>3829.8044501386457</v>
      </c>
      <c r="H16" s="7">
        <f t="shared" si="1"/>
        <v>9808.2131494495407</v>
      </c>
      <c r="I16" s="6">
        <f t="shared" si="3"/>
        <v>185511.81380762137</v>
      </c>
    </row>
    <row r="17" spans="2:9" x14ac:dyDescent="0.25">
      <c r="E17" s="4">
        <v>13</v>
      </c>
      <c r="F17" s="7">
        <f t="shared" si="2"/>
        <v>6097.9768732971133</v>
      </c>
      <c r="G17" s="7">
        <f t="shared" si="0"/>
        <v>3710.2362761524273</v>
      </c>
      <c r="H17" s="7">
        <f t="shared" si="1"/>
        <v>9808.2131494495407</v>
      </c>
      <c r="I17" s="6">
        <f t="shared" si="3"/>
        <v>179413.83693432424</v>
      </c>
    </row>
    <row r="18" spans="2:9" x14ac:dyDescent="0.25">
      <c r="E18" s="4">
        <v>14</v>
      </c>
      <c r="F18" s="7">
        <f t="shared" si="2"/>
        <v>6219.9364107630554</v>
      </c>
      <c r="G18" s="7">
        <f t="shared" si="0"/>
        <v>3588.2767386864848</v>
      </c>
      <c r="H18" s="7">
        <f t="shared" si="1"/>
        <v>9808.2131494495407</v>
      </c>
      <c r="I18" s="6">
        <f t="shared" si="3"/>
        <v>173193.90052356117</v>
      </c>
    </row>
    <row r="19" spans="2:9" x14ac:dyDescent="0.25">
      <c r="E19" s="4">
        <v>15</v>
      </c>
      <c r="F19" s="7">
        <f t="shared" si="2"/>
        <v>6344.3351389783165</v>
      </c>
      <c r="G19" s="7">
        <f t="shared" si="0"/>
        <v>3463.8780104712237</v>
      </c>
      <c r="H19" s="7">
        <f t="shared" si="1"/>
        <v>9808.2131494495407</v>
      </c>
      <c r="I19" s="6">
        <f t="shared" si="3"/>
        <v>166849.56538458285</v>
      </c>
    </row>
    <row r="20" spans="2:9" x14ac:dyDescent="0.25">
      <c r="E20" s="4">
        <v>16</v>
      </c>
      <c r="F20" s="7">
        <f t="shared" si="2"/>
        <v>6471.2218417578842</v>
      </c>
      <c r="G20" s="7">
        <f t="shared" si="0"/>
        <v>3336.9913076916569</v>
      </c>
      <c r="H20" s="7">
        <f t="shared" si="1"/>
        <v>9808.2131494495407</v>
      </c>
      <c r="I20" s="6">
        <f t="shared" si="3"/>
        <v>160378.34354282496</v>
      </c>
    </row>
    <row r="21" spans="2:9" x14ac:dyDescent="0.25">
      <c r="E21" s="4">
        <v>17</v>
      </c>
      <c r="F21" s="7">
        <f t="shared" si="2"/>
        <v>6600.6462785930416</v>
      </c>
      <c r="G21" s="7">
        <f t="shared" si="0"/>
        <v>3207.5668708564995</v>
      </c>
      <c r="H21" s="7">
        <f t="shared" si="1"/>
        <v>9808.2131494495407</v>
      </c>
      <c r="I21" s="6">
        <f t="shared" si="3"/>
        <v>153777.69726423192</v>
      </c>
    </row>
    <row r="22" spans="2:9" x14ac:dyDescent="0.25">
      <c r="E22" s="4">
        <v>18</v>
      </c>
      <c r="F22" s="7">
        <f t="shared" si="2"/>
        <v>6732.6592041649019</v>
      </c>
      <c r="G22" s="7">
        <f t="shared" si="0"/>
        <v>3075.5539452846383</v>
      </c>
      <c r="H22" s="7">
        <f t="shared" si="1"/>
        <v>9808.2131494495407</v>
      </c>
      <c r="I22" s="6">
        <f t="shared" si="3"/>
        <v>147045.03806006702</v>
      </c>
    </row>
    <row r="23" spans="2:9" x14ac:dyDescent="0.25">
      <c r="E23" s="4">
        <v>19</v>
      </c>
      <c r="F23" s="7">
        <f t="shared" si="2"/>
        <v>6867.3123882481996</v>
      </c>
      <c r="G23" s="7">
        <f t="shared" si="0"/>
        <v>2940.9007612013406</v>
      </c>
      <c r="H23" s="7">
        <f t="shared" si="1"/>
        <v>9808.2131494495407</v>
      </c>
      <c r="I23" s="6">
        <f t="shared" si="3"/>
        <v>140177.72567181883</v>
      </c>
    </row>
    <row r="24" spans="2:9" x14ac:dyDescent="0.25">
      <c r="E24" s="4">
        <v>20</v>
      </c>
      <c r="F24" s="7">
        <f t="shared" si="2"/>
        <v>7004.6586360131641</v>
      </c>
      <c r="G24" s="7">
        <f t="shared" si="0"/>
        <v>2803.5545134363765</v>
      </c>
      <c r="H24" s="7">
        <f t="shared" si="1"/>
        <v>9808.2131494495407</v>
      </c>
      <c r="I24" s="6">
        <f t="shared" si="3"/>
        <v>133173.06703580567</v>
      </c>
    </row>
    <row r="25" spans="2:9" x14ac:dyDescent="0.25">
      <c r="E25" s="4">
        <v>21</v>
      </c>
      <c r="F25" s="7">
        <f t="shared" si="2"/>
        <v>7144.7518087334274</v>
      </c>
      <c r="G25" s="7">
        <f t="shared" si="0"/>
        <v>2663.4613407161132</v>
      </c>
      <c r="H25" s="7">
        <f t="shared" si="1"/>
        <v>9808.2131494495407</v>
      </c>
      <c r="I25" s="6">
        <f t="shared" si="3"/>
        <v>126028.31522707223</v>
      </c>
    </row>
    <row r="26" spans="2:9" x14ac:dyDescent="0.25">
      <c r="E26" s="4">
        <v>22</v>
      </c>
      <c r="F26" s="7">
        <f t="shared" si="2"/>
        <v>7287.6468449080958</v>
      </c>
      <c r="G26" s="7">
        <f t="shared" si="0"/>
        <v>2520.5663045414449</v>
      </c>
      <c r="H26" s="7">
        <f t="shared" si="1"/>
        <v>9808.2131494495407</v>
      </c>
      <c r="I26" s="6">
        <f t="shared" si="3"/>
        <v>118740.66838216413</v>
      </c>
    </row>
    <row r="27" spans="2:9" x14ac:dyDescent="0.25">
      <c r="E27" s="4">
        <v>23</v>
      </c>
      <c r="F27" s="7">
        <f t="shared" si="2"/>
        <v>7433.399781806258</v>
      </c>
      <c r="G27" s="7">
        <f t="shared" si="0"/>
        <v>2374.8133676432826</v>
      </c>
      <c r="H27" s="7">
        <f t="shared" si="1"/>
        <v>9808.2131494495407</v>
      </c>
      <c r="I27" s="6">
        <f t="shared" si="3"/>
        <v>111307.26860035787</v>
      </c>
    </row>
    <row r="28" spans="2:9" x14ac:dyDescent="0.25">
      <c r="E28" s="4">
        <v>24</v>
      </c>
      <c r="F28" s="7">
        <f t="shared" si="2"/>
        <v>7582.067777442383</v>
      </c>
      <c r="G28" s="7">
        <f t="shared" si="0"/>
        <v>2226.1453720071577</v>
      </c>
      <c r="H28" s="7">
        <f t="shared" si="1"/>
        <v>9808.2131494495407</v>
      </c>
      <c r="I28" s="43">
        <f t="shared" si="3"/>
        <v>103725.20082291549</v>
      </c>
    </row>
    <row r="29" spans="2:9" x14ac:dyDescent="0.25">
      <c r="B29" s="13"/>
      <c r="C29" s="13"/>
      <c r="D29" s="13"/>
      <c r="E29" s="4">
        <v>25</v>
      </c>
      <c r="F29" s="7">
        <f t="shared" si="2"/>
        <v>7733.7091329912309</v>
      </c>
      <c r="G29" s="7">
        <f t="shared" si="0"/>
        <v>2074.5040164583097</v>
      </c>
      <c r="H29" s="7">
        <f t="shared" si="1"/>
        <v>9808.2131494495407</v>
      </c>
      <c r="I29" s="43">
        <f t="shared" si="3"/>
        <v>95991.491689924253</v>
      </c>
    </row>
    <row r="30" spans="2:9" x14ac:dyDescent="0.25">
      <c r="B30" s="13"/>
      <c r="C30" s="13"/>
      <c r="D30" s="13"/>
      <c r="E30" s="4">
        <v>26</v>
      </c>
      <c r="F30" s="7">
        <f t="shared" si="2"/>
        <v>7888.3833156510555</v>
      </c>
      <c r="G30" s="7">
        <f t="shared" si="0"/>
        <v>1919.8298337984852</v>
      </c>
      <c r="H30" s="7">
        <f t="shared" si="1"/>
        <v>9808.2131494495407</v>
      </c>
      <c r="I30" s="43">
        <f t="shared" si="3"/>
        <v>88103.108374273201</v>
      </c>
    </row>
    <row r="31" spans="2:9" x14ac:dyDescent="0.25">
      <c r="B31" s="13"/>
      <c r="C31" s="13"/>
      <c r="D31" s="13"/>
      <c r="E31" s="4">
        <v>27</v>
      </c>
      <c r="F31" s="7">
        <f t="shared" si="2"/>
        <v>8046.1509819640769</v>
      </c>
      <c r="G31" s="7">
        <f t="shared" si="0"/>
        <v>1762.062167485464</v>
      </c>
      <c r="H31" s="7">
        <f t="shared" si="1"/>
        <v>9808.2131494495407</v>
      </c>
      <c r="I31" s="43">
        <f t="shared" si="3"/>
        <v>80056.957392309123</v>
      </c>
    </row>
    <row r="32" spans="2:9" x14ac:dyDescent="0.25">
      <c r="B32" s="13"/>
      <c r="C32" s="13"/>
      <c r="D32" s="13"/>
      <c r="E32" s="4">
        <v>28</v>
      </c>
      <c r="F32" s="7">
        <f t="shared" si="2"/>
        <v>8207.0740016033578</v>
      </c>
      <c r="G32" s="7">
        <f t="shared" si="0"/>
        <v>1601.1391478461826</v>
      </c>
      <c r="H32" s="7">
        <f t="shared" si="1"/>
        <v>9808.2131494495407</v>
      </c>
      <c r="I32" s="43">
        <f t="shared" si="3"/>
        <v>71849.883390705771</v>
      </c>
    </row>
    <row r="33" spans="2:9" x14ac:dyDescent="0.25">
      <c r="B33" s="13"/>
      <c r="C33" s="13"/>
      <c r="D33" s="13"/>
      <c r="E33" s="4">
        <v>29</v>
      </c>
      <c r="F33" s="7">
        <f t="shared" si="2"/>
        <v>8371.215481635425</v>
      </c>
      <c r="G33" s="7">
        <f t="shared" si="0"/>
        <v>1436.9976678141154</v>
      </c>
      <c r="H33" s="7">
        <f t="shared" si="1"/>
        <v>9808.2131494495407</v>
      </c>
      <c r="I33" s="43">
        <f t="shared" si="3"/>
        <v>63478.667909070347</v>
      </c>
    </row>
    <row r="34" spans="2:9" x14ac:dyDescent="0.25">
      <c r="B34" s="13"/>
      <c r="C34" s="13"/>
      <c r="D34" s="13"/>
      <c r="E34" s="4">
        <v>30</v>
      </c>
      <c r="F34" s="7">
        <f t="shared" si="2"/>
        <v>8538.6397912681332</v>
      </c>
      <c r="G34" s="7">
        <f t="shared" si="0"/>
        <v>1269.573358181407</v>
      </c>
      <c r="H34" s="7">
        <f t="shared" si="1"/>
        <v>9808.2131494495407</v>
      </c>
      <c r="I34" s="43">
        <f t="shared" si="3"/>
        <v>54940.028117802212</v>
      </c>
    </row>
    <row r="35" spans="2:9" x14ac:dyDescent="0.25">
      <c r="B35" s="13"/>
      <c r="C35" s="13"/>
      <c r="D35" s="13"/>
      <c r="E35" s="4">
        <v>31</v>
      </c>
      <c r="F35" s="7">
        <f t="shared" si="2"/>
        <v>8709.4125870934968</v>
      </c>
      <c r="G35" s="7">
        <f t="shared" si="0"/>
        <v>1098.8005623560443</v>
      </c>
      <c r="H35" s="7">
        <f t="shared" si="1"/>
        <v>9808.2131494495407</v>
      </c>
      <c r="I35" s="43">
        <f t="shared" si="3"/>
        <v>46230.615530708717</v>
      </c>
    </row>
    <row r="36" spans="2:9" x14ac:dyDescent="0.25">
      <c r="B36" s="13"/>
      <c r="C36" s="13"/>
      <c r="D36" s="13"/>
      <c r="E36" s="4">
        <v>32</v>
      </c>
      <c r="F36" s="7">
        <f t="shared" si="2"/>
        <v>8883.6008388353657</v>
      </c>
      <c r="G36" s="7">
        <f t="shared" si="0"/>
        <v>924.61231061417436</v>
      </c>
      <c r="H36" s="7">
        <f t="shared" si="1"/>
        <v>9808.2131494495407</v>
      </c>
      <c r="I36" s="43">
        <f t="shared" si="3"/>
        <v>37347.014691873352</v>
      </c>
    </row>
    <row r="37" spans="2:9" x14ac:dyDescent="0.25">
      <c r="B37" s="13"/>
      <c r="C37" s="13"/>
      <c r="D37" s="13"/>
      <c r="E37" s="4">
        <v>33</v>
      </c>
      <c r="F37" s="7">
        <f t="shared" si="2"/>
        <v>9061.2728556120728</v>
      </c>
      <c r="G37" s="7">
        <f t="shared" si="0"/>
        <v>746.94029383746704</v>
      </c>
      <c r="H37" s="7">
        <f t="shared" si="1"/>
        <v>9808.2131494495407</v>
      </c>
      <c r="I37" s="43">
        <f t="shared" si="3"/>
        <v>28285.741836261281</v>
      </c>
    </row>
    <row r="38" spans="2:9" x14ac:dyDescent="0.25">
      <c r="B38" s="13"/>
      <c r="C38" s="13"/>
      <c r="D38" s="13"/>
      <c r="E38" s="4">
        <v>34</v>
      </c>
      <c r="F38" s="7">
        <f t="shared" si="2"/>
        <v>9242.4983127243158</v>
      </c>
      <c r="G38" s="7">
        <f t="shared" si="0"/>
        <v>565.71483672522561</v>
      </c>
      <c r="H38" s="7">
        <f t="shared" si="1"/>
        <v>9808.2131494495407</v>
      </c>
      <c r="I38" s="43">
        <f t="shared" si="3"/>
        <v>19043.243523536963</v>
      </c>
    </row>
    <row r="39" spans="2:9" x14ac:dyDescent="0.25">
      <c r="B39" s="13"/>
      <c r="C39" s="13"/>
      <c r="D39" s="13"/>
      <c r="E39" s="4">
        <v>35</v>
      </c>
      <c r="F39" s="7">
        <f t="shared" si="2"/>
        <v>9427.3482789788013</v>
      </c>
      <c r="G39" s="7">
        <f t="shared" si="0"/>
        <v>380.86487047073928</v>
      </c>
      <c r="H39" s="7">
        <f t="shared" si="1"/>
        <v>9808.2131494495407</v>
      </c>
      <c r="I39" s="43">
        <f t="shared" si="3"/>
        <v>9615.8952445581617</v>
      </c>
    </row>
    <row r="40" spans="2:9" ht="15.75" thickBot="1" x14ac:dyDescent="0.3">
      <c r="B40" s="13"/>
      <c r="C40" s="13"/>
      <c r="D40" s="13"/>
      <c r="E40" s="8">
        <v>36</v>
      </c>
      <c r="F40" s="9">
        <f t="shared" si="2"/>
        <v>9615.8952445583782</v>
      </c>
      <c r="G40" s="9">
        <f t="shared" si="0"/>
        <v>192.31790489116324</v>
      </c>
      <c r="H40" s="9">
        <f t="shared" si="1"/>
        <v>9808.2131494495407</v>
      </c>
      <c r="I40" s="10">
        <f t="shared" si="3"/>
        <v>-2.1645973902195692E-10</v>
      </c>
    </row>
  </sheetData>
  <mergeCells count="1">
    <mergeCell ref="E2:I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601E5-4B46-4E1A-9C63-5CFE2DAD17FC}">
  <sheetPr codeName="Planilha2"/>
  <dimension ref="B1:I184"/>
  <sheetViews>
    <sheetView showGridLines="0" showRowColHeaders="0" workbookViewId="0">
      <selection activeCell="Q7" sqref="Q7"/>
    </sheetView>
  </sheetViews>
  <sheetFormatPr defaultRowHeight="15" x14ac:dyDescent="0.25"/>
  <cols>
    <col min="2" max="2" width="18.28515625" customWidth="1"/>
    <col min="3" max="3" width="14.85546875" customWidth="1"/>
    <col min="6" max="6" width="13.140625" customWidth="1"/>
    <col min="7" max="7" width="11.85546875" customWidth="1"/>
    <col min="8" max="8" width="12.42578125" customWidth="1"/>
    <col min="9" max="9" width="16.140625" customWidth="1"/>
  </cols>
  <sheetData>
    <row r="1" spans="2:9" ht="15.75" thickBot="1" x14ac:dyDescent="0.3"/>
    <row r="2" spans="2:9" ht="15.75" thickBot="1" x14ac:dyDescent="0.3">
      <c r="B2" s="17" t="s">
        <v>5</v>
      </c>
      <c r="C2" s="18">
        <v>650000</v>
      </c>
      <c r="E2" s="77" t="s">
        <v>9</v>
      </c>
      <c r="F2" s="78"/>
      <c r="G2" s="78"/>
      <c r="H2" s="78"/>
      <c r="I2" s="79"/>
    </row>
    <row r="3" spans="2:9" ht="15.75" thickBot="1" x14ac:dyDescent="0.3">
      <c r="B3" s="19" t="s">
        <v>8</v>
      </c>
      <c r="C3" s="20">
        <v>0.02</v>
      </c>
      <c r="E3" s="2" t="s">
        <v>0</v>
      </c>
      <c r="F3" s="2" t="s">
        <v>1</v>
      </c>
      <c r="G3" s="2" t="s">
        <v>2</v>
      </c>
      <c r="H3" s="2" t="s">
        <v>3</v>
      </c>
      <c r="I3" s="2" t="s">
        <v>4</v>
      </c>
    </row>
    <row r="4" spans="2:9" ht="15.75" thickBot="1" x14ac:dyDescent="0.3">
      <c r="B4" s="35"/>
      <c r="C4" s="35"/>
      <c r="E4" s="32">
        <v>0</v>
      </c>
      <c r="F4" s="29">
        <v>0</v>
      </c>
      <c r="G4" s="27">
        <v>0</v>
      </c>
      <c r="H4" s="27">
        <v>0</v>
      </c>
      <c r="I4" s="28">
        <v>650000</v>
      </c>
    </row>
    <row r="5" spans="2:9" ht="15.75" thickBot="1" x14ac:dyDescent="0.3">
      <c r="B5" s="11" t="s">
        <v>7</v>
      </c>
      <c r="C5" s="21">
        <f>SUM(H5:H28)</f>
        <v>378733.33333333326</v>
      </c>
      <c r="E5" s="33">
        <v>1</v>
      </c>
      <c r="F5" s="30">
        <f>$I$4/$E$184</f>
        <v>3611.1111111111113</v>
      </c>
      <c r="G5" s="23">
        <f t="shared" ref="G5:G36" si="0">I4*$C$3</f>
        <v>13000</v>
      </c>
      <c r="H5" s="23">
        <f>G5+F5</f>
        <v>16611.111111111109</v>
      </c>
      <c r="I5" s="22">
        <f>I4-F5</f>
        <v>646388.88888888888</v>
      </c>
    </row>
    <row r="6" spans="2:9" x14ac:dyDescent="0.25">
      <c r="E6" s="33">
        <v>2</v>
      </c>
      <c r="F6" s="30">
        <f t="shared" ref="F6:F69" si="1">$I$4/$E$184</f>
        <v>3611.1111111111113</v>
      </c>
      <c r="G6" s="23">
        <f t="shared" si="0"/>
        <v>12927.777777777777</v>
      </c>
      <c r="H6" s="23">
        <f t="shared" ref="H6:H69" si="2">G6+F6</f>
        <v>16538.888888888891</v>
      </c>
      <c r="I6" s="22">
        <f t="shared" ref="I6:I69" si="3">I5-F6</f>
        <v>642777.77777777775</v>
      </c>
    </row>
    <row r="7" spans="2:9" x14ac:dyDescent="0.25">
      <c r="E7" s="33">
        <v>3</v>
      </c>
      <c r="F7" s="30">
        <f t="shared" si="1"/>
        <v>3611.1111111111113</v>
      </c>
      <c r="G7" s="23">
        <f t="shared" si="0"/>
        <v>12855.555555555555</v>
      </c>
      <c r="H7" s="23">
        <f t="shared" si="2"/>
        <v>16466.666666666664</v>
      </c>
      <c r="I7" s="22">
        <f t="shared" si="3"/>
        <v>639166.66666666663</v>
      </c>
    </row>
    <row r="8" spans="2:9" x14ac:dyDescent="0.25">
      <c r="E8" s="33">
        <v>4</v>
      </c>
      <c r="F8" s="30">
        <f t="shared" si="1"/>
        <v>3611.1111111111113</v>
      </c>
      <c r="G8" s="23">
        <f t="shared" si="0"/>
        <v>12783.333333333332</v>
      </c>
      <c r="H8" s="23">
        <f t="shared" si="2"/>
        <v>16394.444444444445</v>
      </c>
      <c r="I8" s="22">
        <f t="shared" si="3"/>
        <v>635555.5555555555</v>
      </c>
    </row>
    <row r="9" spans="2:9" x14ac:dyDescent="0.25">
      <c r="E9" s="33">
        <v>5</v>
      </c>
      <c r="F9" s="30">
        <f t="shared" si="1"/>
        <v>3611.1111111111113</v>
      </c>
      <c r="G9" s="23">
        <f t="shared" si="0"/>
        <v>12711.111111111109</v>
      </c>
      <c r="H9" s="23">
        <f t="shared" si="2"/>
        <v>16322.222222222221</v>
      </c>
      <c r="I9" s="22">
        <f t="shared" si="3"/>
        <v>631944.44444444438</v>
      </c>
    </row>
    <row r="10" spans="2:9" x14ac:dyDescent="0.25">
      <c r="E10" s="33">
        <v>6</v>
      </c>
      <c r="F10" s="30">
        <f t="shared" si="1"/>
        <v>3611.1111111111113</v>
      </c>
      <c r="G10" s="23">
        <f t="shared" si="0"/>
        <v>12638.888888888889</v>
      </c>
      <c r="H10" s="23">
        <f t="shared" si="2"/>
        <v>16250</v>
      </c>
      <c r="I10" s="22">
        <f t="shared" si="3"/>
        <v>628333.33333333326</v>
      </c>
    </row>
    <row r="11" spans="2:9" x14ac:dyDescent="0.25">
      <c r="E11" s="33">
        <v>7</v>
      </c>
      <c r="F11" s="30">
        <f t="shared" si="1"/>
        <v>3611.1111111111113</v>
      </c>
      <c r="G11" s="23">
        <f t="shared" si="0"/>
        <v>12566.666666666666</v>
      </c>
      <c r="H11" s="23">
        <f t="shared" si="2"/>
        <v>16177.777777777777</v>
      </c>
      <c r="I11" s="22">
        <f t="shared" si="3"/>
        <v>624722.22222222213</v>
      </c>
    </row>
    <row r="12" spans="2:9" x14ac:dyDescent="0.25">
      <c r="E12" s="33">
        <v>8</v>
      </c>
      <c r="F12" s="30">
        <f t="shared" si="1"/>
        <v>3611.1111111111113</v>
      </c>
      <c r="G12" s="23">
        <f t="shared" si="0"/>
        <v>12494.444444444443</v>
      </c>
      <c r="H12" s="23">
        <f t="shared" si="2"/>
        <v>16105.555555555555</v>
      </c>
      <c r="I12" s="22">
        <f t="shared" si="3"/>
        <v>621111.11111111101</v>
      </c>
    </row>
    <row r="13" spans="2:9" x14ac:dyDescent="0.25">
      <c r="E13" s="33">
        <v>9</v>
      </c>
      <c r="F13" s="30">
        <f t="shared" si="1"/>
        <v>3611.1111111111113</v>
      </c>
      <c r="G13" s="23">
        <f t="shared" si="0"/>
        <v>12422.222222222221</v>
      </c>
      <c r="H13" s="23">
        <f t="shared" si="2"/>
        <v>16033.333333333332</v>
      </c>
      <c r="I13" s="22">
        <f t="shared" si="3"/>
        <v>617499.99999999988</v>
      </c>
    </row>
    <row r="14" spans="2:9" x14ac:dyDescent="0.25">
      <c r="E14" s="33">
        <v>10</v>
      </c>
      <c r="F14" s="30">
        <f t="shared" si="1"/>
        <v>3611.1111111111113</v>
      </c>
      <c r="G14" s="23">
        <f t="shared" si="0"/>
        <v>12349.999999999998</v>
      </c>
      <c r="H14" s="23">
        <f t="shared" si="2"/>
        <v>15961.111111111109</v>
      </c>
      <c r="I14" s="22">
        <f t="shared" si="3"/>
        <v>613888.88888888876</v>
      </c>
    </row>
    <row r="15" spans="2:9" x14ac:dyDescent="0.25">
      <c r="E15" s="33">
        <v>11</v>
      </c>
      <c r="F15" s="30">
        <f t="shared" si="1"/>
        <v>3611.1111111111113</v>
      </c>
      <c r="G15" s="23">
        <f t="shared" si="0"/>
        <v>12277.777777777776</v>
      </c>
      <c r="H15" s="23">
        <f t="shared" si="2"/>
        <v>15888.888888888887</v>
      </c>
      <c r="I15" s="22">
        <f t="shared" si="3"/>
        <v>610277.77777777764</v>
      </c>
    </row>
    <row r="16" spans="2:9" x14ac:dyDescent="0.25">
      <c r="E16" s="33">
        <v>12</v>
      </c>
      <c r="F16" s="30">
        <f t="shared" si="1"/>
        <v>3611.1111111111113</v>
      </c>
      <c r="G16" s="23">
        <f t="shared" si="0"/>
        <v>12205.555555555553</v>
      </c>
      <c r="H16" s="23">
        <f t="shared" si="2"/>
        <v>15816.666666666664</v>
      </c>
      <c r="I16" s="22">
        <f t="shared" si="3"/>
        <v>606666.66666666651</v>
      </c>
    </row>
    <row r="17" spans="5:9" x14ac:dyDescent="0.25">
      <c r="E17" s="33">
        <v>13</v>
      </c>
      <c r="F17" s="30">
        <f t="shared" si="1"/>
        <v>3611.1111111111113</v>
      </c>
      <c r="G17" s="23">
        <f t="shared" si="0"/>
        <v>12133.33333333333</v>
      </c>
      <c r="H17" s="23">
        <f t="shared" si="2"/>
        <v>15744.444444444442</v>
      </c>
      <c r="I17" s="22">
        <f t="shared" si="3"/>
        <v>603055.55555555539</v>
      </c>
    </row>
    <row r="18" spans="5:9" x14ac:dyDescent="0.25">
      <c r="E18" s="33">
        <v>14</v>
      </c>
      <c r="F18" s="30">
        <f t="shared" si="1"/>
        <v>3611.1111111111113</v>
      </c>
      <c r="G18" s="23">
        <f t="shared" si="0"/>
        <v>12061.111111111108</v>
      </c>
      <c r="H18" s="23">
        <f t="shared" si="2"/>
        <v>15672.222222222219</v>
      </c>
      <c r="I18" s="22">
        <f t="shared" si="3"/>
        <v>599444.44444444426</v>
      </c>
    </row>
    <row r="19" spans="5:9" x14ac:dyDescent="0.25">
      <c r="E19" s="33">
        <v>15</v>
      </c>
      <c r="F19" s="30">
        <f t="shared" si="1"/>
        <v>3611.1111111111113</v>
      </c>
      <c r="G19" s="23">
        <f t="shared" si="0"/>
        <v>11988.888888888885</v>
      </c>
      <c r="H19" s="23">
        <f t="shared" si="2"/>
        <v>15599.999999999996</v>
      </c>
      <c r="I19" s="22">
        <f t="shared" si="3"/>
        <v>595833.33333333314</v>
      </c>
    </row>
    <row r="20" spans="5:9" x14ac:dyDescent="0.25">
      <c r="E20" s="33">
        <v>16</v>
      </c>
      <c r="F20" s="30">
        <f t="shared" si="1"/>
        <v>3611.1111111111113</v>
      </c>
      <c r="G20" s="23">
        <f t="shared" si="0"/>
        <v>11916.666666666662</v>
      </c>
      <c r="H20" s="23">
        <f t="shared" si="2"/>
        <v>15527.777777777774</v>
      </c>
      <c r="I20" s="22">
        <f t="shared" si="3"/>
        <v>592222.22222222202</v>
      </c>
    </row>
    <row r="21" spans="5:9" x14ac:dyDescent="0.25">
      <c r="E21" s="33">
        <v>17</v>
      </c>
      <c r="F21" s="30">
        <f t="shared" si="1"/>
        <v>3611.1111111111113</v>
      </c>
      <c r="G21" s="23">
        <f t="shared" si="0"/>
        <v>11844.44444444444</v>
      </c>
      <c r="H21" s="23">
        <f t="shared" si="2"/>
        <v>15455.555555555551</v>
      </c>
      <c r="I21" s="22">
        <f t="shared" si="3"/>
        <v>588611.11111111089</v>
      </c>
    </row>
    <row r="22" spans="5:9" x14ac:dyDescent="0.25">
      <c r="E22" s="33">
        <v>18</v>
      </c>
      <c r="F22" s="30">
        <f t="shared" si="1"/>
        <v>3611.1111111111113</v>
      </c>
      <c r="G22" s="23">
        <f t="shared" si="0"/>
        <v>11772.222222222217</v>
      </c>
      <c r="H22" s="23">
        <f t="shared" si="2"/>
        <v>15383.333333333328</v>
      </c>
      <c r="I22" s="22">
        <f t="shared" si="3"/>
        <v>584999.99999999977</v>
      </c>
    </row>
    <row r="23" spans="5:9" x14ac:dyDescent="0.25">
      <c r="E23" s="33">
        <v>19</v>
      </c>
      <c r="F23" s="30">
        <f t="shared" si="1"/>
        <v>3611.1111111111113</v>
      </c>
      <c r="G23" s="23">
        <f t="shared" si="0"/>
        <v>11699.999999999996</v>
      </c>
      <c r="H23" s="23">
        <f t="shared" si="2"/>
        <v>15311.111111111108</v>
      </c>
      <c r="I23" s="22">
        <f t="shared" si="3"/>
        <v>581388.88888888864</v>
      </c>
    </row>
    <row r="24" spans="5:9" x14ac:dyDescent="0.25">
      <c r="E24" s="33">
        <v>20</v>
      </c>
      <c r="F24" s="30">
        <f t="shared" si="1"/>
        <v>3611.1111111111113</v>
      </c>
      <c r="G24" s="23">
        <f t="shared" si="0"/>
        <v>11627.777777777774</v>
      </c>
      <c r="H24" s="23">
        <f t="shared" si="2"/>
        <v>15238.888888888885</v>
      </c>
      <c r="I24" s="22">
        <f t="shared" si="3"/>
        <v>577777.77777777752</v>
      </c>
    </row>
    <row r="25" spans="5:9" x14ac:dyDescent="0.25">
      <c r="E25" s="33">
        <v>21</v>
      </c>
      <c r="F25" s="30">
        <f t="shared" si="1"/>
        <v>3611.1111111111113</v>
      </c>
      <c r="G25" s="23">
        <f t="shared" si="0"/>
        <v>11555.555555555551</v>
      </c>
      <c r="H25" s="23">
        <f t="shared" si="2"/>
        <v>15166.666666666662</v>
      </c>
      <c r="I25" s="22">
        <f t="shared" si="3"/>
        <v>574166.6666666664</v>
      </c>
    </row>
    <row r="26" spans="5:9" x14ac:dyDescent="0.25">
      <c r="E26" s="33">
        <v>22</v>
      </c>
      <c r="F26" s="30">
        <f t="shared" si="1"/>
        <v>3611.1111111111113</v>
      </c>
      <c r="G26" s="23">
        <f t="shared" si="0"/>
        <v>11483.333333333328</v>
      </c>
      <c r="H26" s="23">
        <f t="shared" si="2"/>
        <v>15094.44444444444</v>
      </c>
      <c r="I26" s="22">
        <f t="shared" si="3"/>
        <v>570555.55555555527</v>
      </c>
    </row>
    <row r="27" spans="5:9" x14ac:dyDescent="0.25">
      <c r="E27" s="33">
        <v>23</v>
      </c>
      <c r="F27" s="30">
        <f t="shared" si="1"/>
        <v>3611.1111111111113</v>
      </c>
      <c r="G27" s="23">
        <f t="shared" si="0"/>
        <v>11411.111111111106</v>
      </c>
      <c r="H27" s="23">
        <f t="shared" si="2"/>
        <v>15022.222222222217</v>
      </c>
      <c r="I27" s="22">
        <f t="shared" si="3"/>
        <v>566944.44444444415</v>
      </c>
    </row>
    <row r="28" spans="5:9" x14ac:dyDescent="0.25">
      <c r="E28" s="33">
        <v>24</v>
      </c>
      <c r="F28" s="30">
        <f t="shared" si="1"/>
        <v>3611.1111111111113</v>
      </c>
      <c r="G28" s="23">
        <f t="shared" si="0"/>
        <v>11338.888888888883</v>
      </c>
      <c r="H28" s="23">
        <f t="shared" si="2"/>
        <v>14949.999999999995</v>
      </c>
      <c r="I28" s="22">
        <f t="shared" si="3"/>
        <v>563333.33333333302</v>
      </c>
    </row>
    <row r="29" spans="5:9" x14ac:dyDescent="0.25">
      <c r="E29" s="33">
        <v>25</v>
      </c>
      <c r="F29" s="30">
        <f t="shared" si="1"/>
        <v>3611.1111111111113</v>
      </c>
      <c r="G29" s="23">
        <f t="shared" si="0"/>
        <v>11266.666666666661</v>
      </c>
      <c r="H29" s="23">
        <f t="shared" si="2"/>
        <v>14877.777777777772</v>
      </c>
      <c r="I29" s="22">
        <f t="shared" si="3"/>
        <v>559722.2222222219</v>
      </c>
    </row>
    <row r="30" spans="5:9" x14ac:dyDescent="0.25">
      <c r="E30" s="33">
        <v>26</v>
      </c>
      <c r="F30" s="30">
        <f t="shared" si="1"/>
        <v>3611.1111111111113</v>
      </c>
      <c r="G30" s="23">
        <f t="shared" si="0"/>
        <v>11194.444444444438</v>
      </c>
      <c r="H30" s="23">
        <f t="shared" si="2"/>
        <v>14805.555555555549</v>
      </c>
      <c r="I30" s="22">
        <f t="shared" si="3"/>
        <v>556111.11111111077</v>
      </c>
    </row>
    <row r="31" spans="5:9" x14ac:dyDescent="0.25">
      <c r="E31" s="33">
        <v>27</v>
      </c>
      <c r="F31" s="30">
        <f t="shared" si="1"/>
        <v>3611.1111111111113</v>
      </c>
      <c r="G31" s="23">
        <f t="shared" si="0"/>
        <v>11122.222222222215</v>
      </c>
      <c r="H31" s="23">
        <f t="shared" si="2"/>
        <v>14733.333333333327</v>
      </c>
      <c r="I31" s="22">
        <f t="shared" si="3"/>
        <v>552499.99999999965</v>
      </c>
    </row>
    <row r="32" spans="5:9" x14ac:dyDescent="0.25">
      <c r="E32" s="33">
        <v>28</v>
      </c>
      <c r="F32" s="30">
        <f t="shared" si="1"/>
        <v>3611.1111111111113</v>
      </c>
      <c r="G32" s="23">
        <f t="shared" si="0"/>
        <v>11049.999999999993</v>
      </c>
      <c r="H32" s="23">
        <f t="shared" si="2"/>
        <v>14661.111111111104</v>
      </c>
      <c r="I32" s="22">
        <f t="shared" si="3"/>
        <v>548888.88888888853</v>
      </c>
    </row>
    <row r="33" spans="5:9" x14ac:dyDescent="0.25">
      <c r="E33" s="33">
        <v>29</v>
      </c>
      <c r="F33" s="30">
        <f t="shared" si="1"/>
        <v>3611.1111111111113</v>
      </c>
      <c r="G33" s="23">
        <f t="shared" si="0"/>
        <v>10977.77777777777</v>
      </c>
      <c r="H33" s="23">
        <f t="shared" si="2"/>
        <v>14588.888888888881</v>
      </c>
      <c r="I33" s="22">
        <f t="shared" si="3"/>
        <v>545277.7777777774</v>
      </c>
    </row>
    <row r="34" spans="5:9" x14ac:dyDescent="0.25">
      <c r="E34" s="33">
        <v>30</v>
      </c>
      <c r="F34" s="30">
        <f t="shared" si="1"/>
        <v>3611.1111111111113</v>
      </c>
      <c r="G34" s="23">
        <f t="shared" si="0"/>
        <v>10905.555555555547</v>
      </c>
      <c r="H34" s="23">
        <f t="shared" si="2"/>
        <v>14516.666666666659</v>
      </c>
      <c r="I34" s="22">
        <f t="shared" si="3"/>
        <v>541666.66666666628</v>
      </c>
    </row>
    <row r="35" spans="5:9" x14ac:dyDescent="0.25">
      <c r="E35" s="33">
        <v>31</v>
      </c>
      <c r="F35" s="30">
        <f t="shared" si="1"/>
        <v>3611.1111111111113</v>
      </c>
      <c r="G35" s="23">
        <f t="shared" si="0"/>
        <v>10833.333333333327</v>
      </c>
      <c r="H35" s="23">
        <f t="shared" si="2"/>
        <v>14444.444444444438</v>
      </c>
      <c r="I35" s="22">
        <f t="shared" si="3"/>
        <v>538055.55555555515</v>
      </c>
    </row>
    <row r="36" spans="5:9" x14ac:dyDescent="0.25">
      <c r="E36" s="33">
        <v>32</v>
      </c>
      <c r="F36" s="30">
        <f t="shared" si="1"/>
        <v>3611.1111111111113</v>
      </c>
      <c r="G36" s="23">
        <f t="shared" si="0"/>
        <v>10761.111111111104</v>
      </c>
      <c r="H36" s="23">
        <f t="shared" si="2"/>
        <v>14372.222222222215</v>
      </c>
      <c r="I36" s="22">
        <f t="shared" si="3"/>
        <v>534444.44444444403</v>
      </c>
    </row>
    <row r="37" spans="5:9" x14ac:dyDescent="0.25">
      <c r="E37" s="33">
        <v>33</v>
      </c>
      <c r="F37" s="30">
        <f t="shared" si="1"/>
        <v>3611.1111111111113</v>
      </c>
      <c r="G37" s="23">
        <f t="shared" ref="G37:G68" si="4">I36*$C$3</f>
        <v>10688.888888888881</v>
      </c>
      <c r="H37" s="23">
        <f t="shared" si="2"/>
        <v>14299.999999999993</v>
      </c>
      <c r="I37" s="22">
        <f t="shared" si="3"/>
        <v>530833.33333333291</v>
      </c>
    </row>
    <row r="38" spans="5:9" x14ac:dyDescent="0.25">
      <c r="E38" s="33">
        <v>34</v>
      </c>
      <c r="F38" s="30">
        <f t="shared" si="1"/>
        <v>3611.1111111111113</v>
      </c>
      <c r="G38" s="23">
        <f t="shared" si="4"/>
        <v>10616.666666666659</v>
      </c>
      <c r="H38" s="23">
        <f t="shared" si="2"/>
        <v>14227.77777777777</v>
      </c>
      <c r="I38" s="22">
        <f t="shared" si="3"/>
        <v>527222.22222222178</v>
      </c>
    </row>
    <row r="39" spans="5:9" x14ac:dyDescent="0.25">
      <c r="E39" s="33">
        <v>35</v>
      </c>
      <c r="F39" s="30">
        <f t="shared" si="1"/>
        <v>3611.1111111111113</v>
      </c>
      <c r="G39" s="23">
        <f t="shared" si="4"/>
        <v>10544.444444444436</v>
      </c>
      <c r="H39" s="23">
        <f t="shared" si="2"/>
        <v>14155.555555555547</v>
      </c>
      <c r="I39" s="22">
        <f t="shared" si="3"/>
        <v>523611.11111111066</v>
      </c>
    </row>
    <row r="40" spans="5:9" x14ac:dyDescent="0.25">
      <c r="E40" s="33">
        <v>36</v>
      </c>
      <c r="F40" s="30">
        <f t="shared" si="1"/>
        <v>3611.1111111111113</v>
      </c>
      <c r="G40" s="23">
        <f t="shared" si="4"/>
        <v>10472.222222222214</v>
      </c>
      <c r="H40" s="23">
        <f t="shared" si="2"/>
        <v>14083.333333333325</v>
      </c>
      <c r="I40" s="22">
        <f t="shared" si="3"/>
        <v>519999.99999999953</v>
      </c>
    </row>
    <row r="41" spans="5:9" x14ac:dyDescent="0.25">
      <c r="E41" s="33">
        <v>37</v>
      </c>
      <c r="F41" s="30">
        <f t="shared" si="1"/>
        <v>3611.1111111111113</v>
      </c>
      <c r="G41" s="23">
        <f t="shared" si="4"/>
        <v>10399.999999999991</v>
      </c>
      <c r="H41" s="23">
        <f t="shared" si="2"/>
        <v>14011.111111111102</v>
      </c>
      <c r="I41" s="22">
        <f t="shared" si="3"/>
        <v>516388.88888888841</v>
      </c>
    </row>
    <row r="42" spans="5:9" x14ac:dyDescent="0.25">
      <c r="E42" s="33">
        <v>38</v>
      </c>
      <c r="F42" s="30">
        <f t="shared" si="1"/>
        <v>3611.1111111111113</v>
      </c>
      <c r="G42" s="23">
        <f t="shared" si="4"/>
        <v>10327.777777777768</v>
      </c>
      <c r="H42" s="23">
        <f t="shared" si="2"/>
        <v>13938.88888888888</v>
      </c>
      <c r="I42" s="22">
        <f t="shared" si="3"/>
        <v>512777.77777777729</v>
      </c>
    </row>
    <row r="43" spans="5:9" x14ac:dyDescent="0.25">
      <c r="E43" s="33">
        <v>39</v>
      </c>
      <c r="F43" s="30">
        <f t="shared" si="1"/>
        <v>3611.1111111111113</v>
      </c>
      <c r="G43" s="23">
        <f t="shared" si="4"/>
        <v>10255.555555555546</v>
      </c>
      <c r="H43" s="23">
        <f t="shared" si="2"/>
        <v>13866.666666666657</v>
      </c>
      <c r="I43" s="22">
        <f t="shared" si="3"/>
        <v>509166.66666666616</v>
      </c>
    </row>
    <row r="44" spans="5:9" x14ac:dyDescent="0.25">
      <c r="E44" s="33">
        <v>40</v>
      </c>
      <c r="F44" s="30">
        <f t="shared" si="1"/>
        <v>3611.1111111111113</v>
      </c>
      <c r="G44" s="23">
        <f t="shared" si="4"/>
        <v>10183.333333333323</v>
      </c>
      <c r="H44" s="23">
        <f t="shared" si="2"/>
        <v>13794.444444444434</v>
      </c>
      <c r="I44" s="22">
        <f t="shared" si="3"/>
        <v>505555.55555555504</v>
      </c>
    </row>
    <row r="45" spans="5:9" x14ac:dyDescent="0.25">
      <c r="E45" s="33">
        <v>41</v>
      </c>
      <c r="F45" s="30">
        <f t="shared" si="1"/>
        <v>3611.1111111111113</v>
      </c>
      <c r="G45" s="23">
        <f t="shared" si="4"/>
        <v>10111.1111111111</v>
      </c>
      <c r="H45" s="23">
        <f t="shared" si="2"/>
        <v>13722.222222222212</v>
      </c>
      <c r="I45" s="22">
        <f t="shared" si="3"/>
        <v>501944.44444444391</v>
      </c>
    </row>
    <row r="46" spans="5:9" x14ac:dyDescent="0.25">
      <c r="E46" s="33">
        <v>42</v>
      </c>
      <c r="F46" s="30">
        <f t="shared" si="1"/>
        <v>3611.1111111111113</v>
      </c>
      <c r="G46" s="23">
        <f t="shared" si="4"/>
        <v>10038.888888888878</v>
      </c>
      <c r="H46" s="23">
        <f t="shared" si="2"/>
        <v>13649.999999999989</v>
      </c>
      <c r="I46" s="22">
        <f t="shared" si="3"/>
        <v>498333.33333333279</v>
      </c>
    </row>
    <row r="47" spans="5:9" x14ac:dyDescent="0.25">
      <c r="E47" s="33">
        <v>43</v>
      </c>
      <c r="F47" s="30">
        <f t="shared" si="1"/>
        <v>3611.1111111111113</v>
      </c>
      <c r="G47" s="23">
        <f t="shared" si="4"/>
        <v>9966.6666666666551</v>
      </c>
      <c r="H47" s="23">
        <f t="shared" si="2"/>
        <v>13577.777777777766</v>
      </c>
      <c r="I47" s="22">
        <f t="shared" si="3"/>
        <v>494722.22222222167</v>
      </c>
    </row>
    <row r="48" spans="5:9" x14ac:dyDescent="0.25">
      <c r="E48" s="33">
        <v>44</v>
      </c>
      <c r="F48" s="30">
        <f t="shared" si="1"/>
        <v>3611.1111111111113</v>
      </c>
      <c r="G48" s="23">
        <f t="shared" si="4"/>
        <v>9894.4444444444343</v>
      </c>
      <c r="H48" s="23">
        <f t="shared" si="2"/>
        <v>13505.555555555546</v>
      </c>
      <c r="I48" s="22">
        <f t="shared" si="3"/>
        <v>491111.11111111054</v>
      </c>
    </row>
    <row r="49" spans="5:9" x14ac:dyDescent="0.25">
      <c r="E49" s="33">
        <v>45</v>
      </c>
      <c r="F49" s="30">
        <f t="shared" si="1"/>
        <v>3611.1111111111113</v>
      </c>
      <c r="G49" s="23">
        <f t="shared" si="4"/>
        <v>9822.2222222222117</v>
      </c>
      <c r="H49" s="23">
        <f t="shared" si="2"/>
        <v>13433.333333333323</v>
      </c>
      <c r="I49" s="22">
        <f t="shared" si="3"/>
        <v>487499.99999999942</v>
      </c>
    </row>
    <row r="50" spans="5:9" x14ac:dyDescent="0.25">
      <c r="E50" s="33">
        <v>46</v>
      </c>
      <c r="F50" s="30">
        <f t="shared" si="1"/>
        <v>3611.1111111111113</v>
      </c>
      <c r="G50" s="23">
        <f t="shared" si="4"/>
        <v>9749.9999999999891</v>
      </c>
      <c r="H50" s="23">
        <f t="shared" si="2"/>
        <v>13361.1111111111</v>
      </c>
      <c r="I50" s="22">
        <f t="shared" si="3"/>
        <v>483888.88888888829</v>
      </c>
    </row>
    <row r="51" spans="5:9" x14ac:dyDescent="0.25">
      <c r="E51" s="33">
        <v>47</v>
      </c>
      <c r="F51" s="30">
        <f t="shared" si="1"/>
        <v>3611.1111111111113</v>
      </c>
      <c r="G51" s="23">
        <f t="shared" si="4"/>
        <v>9677.7777777777665</v>
      </c>
      <c r="H51" s="23">
        <f t="shared" si="2"/>
        <v>13288.888888888878</v>
      </c>
      <c r="I51" s="22">
        <f t="shared" si="3"/>
        <v>480277.77777777717</v>
      </c>
    </row>
    <row r="52" spans="5:9" x14ac:dyDescent="0.25">
      <c r="E52" s="33">
        <v>48</v>
      </c>
      <c r="F52" s="30">
        <f t="shared" si="1"/>
        <v>3611.1111111111113</v>
      </c>
      <c r="G52" s="23">
        <f t="shared" si="4"/>
        <v>9605.5555555555438</v>
      </c>
      <c r="H52" s="23">
        <f t="shared" si="2"/>
        <v>13216.666666666655</v>
      </c>
      <c r="I52" s="22">
        <f t="shared" si="3"/>
        <v>476666.66666666605</v>
      </c>
    </row>
    <row r="53" spans="5:9" x14ac:dyDescent="0.25">
      <c r="E53" s="33">
        <v>49</v>
      </c>
      <c r="F53" s="30">
        <f t="shared" si="1"/>
        <v>3611.1111111111113</v>
      </c>
      <c r="G53" s="23">
        <f t="shared" si="4"/>
        <v>9533.3333333333212</v>
      </c>
      <c r="H53" s="23">
        <f t="shared" si="2"/>
        <v>13144.444444444433</v>
      </c>
      <c r="I53" s="22">
        <f t="shared" si="3"/>
        <v>473055.55555555492</v>
      </c>
    </row>
    <row r="54" spans="5:9" x14ac:dyDescent="0.25">
      <c r="E54" s="33">
        <v>50</v>
      </c>
      <c r="F54" s="30">
        <f t="shared" si="1"/>
        <v>3611.1111111111113</v>
      </c>
      <c r="G54" s="23">
        <f t="shared" si="4"/>
        <v>9461.1111111110986</v>
      </c>
      <c r="H54" s="23">
        <f t="shared" si="2"/>
        <v>13072.22222222221</v>
      </c>
      <c r="I54" s="22">
        <f t="shared" si="3"/>
        <v>469444.4444444438</v>
      </c>
    </row>
    <row r="55" spans="5:9" x14ac:dyDescent="0.25">
      <c r="E55" s="33">
        <v>51</v>
      </c>
      <c r="F55" s="30">
        <f t="shared" si="1"/>
        <v>3611.1111111111113</v>
      </c>
      <c r="G55" s="23">
        <f t="shared" si="4"/>
        <v>9388.888888888876</v>
      </c>
      <c r="H55" s="23">
        <f t="shared" si="2"/>
        <v>12999.999999999987</v>
      </c>
      <c r="I55" s="22">
        <f t="shared" si="3"/>
        <v>465833.33333333267</v>
      </c>
    </row>
    <row r="56" spans="5:9" x14ac:dyDescent="0.25">
      <c r="E56" s="33">
        <v>52</v>
      </c>
      <c r="F56" s="30">
        <f t="shared" si="1"/>
        <v>3611.1111111111113</v>
      </c>
      <c r="G56" s="23">
        <f t="shared" si="4"/>
        <v>9316.6666666666533</v>
      </c>
      <c r="H56" s="23">
        <f t="shared" si="2"/>
        <v>12927.777777777765</v>
      </c>
      <c r="I56" s="22">
        <f t="shared" si="3"/>
        <v>462222.22222222155</v>
      </c>
    </row>
    <row r="57" spans="5:9" x14ac:dyDescent="0.25">
      <c r="E57" s="33">
        <v>53</v>
      </c>
      <c r="F57" s="30">
        <f t="shared" si="1"/>
        <v>3611.1111111111113</v>
      </c>
      <c r="G57" s="23">
        <f t="shared" si="4"/>
        <v>9244.4444444444307</v>
      </c>
      <c r="H57" s="23">
        <f t="shared" si="2"/>
        <v>12855.555555555542</v>
      </c>
      <c r="I57" s="22">
        <f t="shared" si="3"/>
        <v>458611.11111111043</v>
      </c>
    </row>
    <row r="58" spans="5:9" x14ac:dyDescent="0.25">
      <c r="E58" s="33">
        <v>54</v>
      </c>
      <c r="F58" s="30">
        <f t="shared" si="1"/>
        <v>3611.1111111111113</v>
      </c>
      <c r="G58" s="23">
        <f t="shared" si="4"/>
        <v>9172.2222222222081</v>
      </c>
      <c r="H58" s="23">
        <f t="shared" si="2"/>
        <v>12783.333333333319</v>
      </c>
      <c r="I58" s="22">
        <f t="shared" si="3"/>
        <v>454999.9999999993</v>
      </c>
    </row>
    <row r="59" spans="5:9" x14ac:dyDescent="0.25">
      <c r="E59" s="33">
        <v>55</v>
      </c>
      <c r="F59" s="30">
        <f t="shared" si="1"/>
        <v>3611.1111111111113</v>
      </c>
      <c r="G59" s="23">
        <f t="shared" si="4"/>
        <v>9099.9999999999854</v>
      </c>
      <c r="H59" s="23">
        <f t="shared" si="2"/>
        <v>12711.111111111097</v>
      </c>
      <c r="I59" s="22">
        <f t="shared" si="3"/>
        <v>451388.88888888818</v>
      </c>
    </row>
    <row r="60" spans="5:9" x14ac:dyDescent="0.25">
      <c r="E60" s="33">
        <v>56</v>
      </c>
      <c r="F60" s="30">
        <f t="shared" si="1"/>
        <v>3611.1111111111113</v>
      </c>
      <c r="G60" s="23">
        <f t="shared" si="4"/>
        <v>9027.7777777777646</v>
      </c>
      <c r="H60" s="23">
        <f t="shared" si="2"/>
        <v>12638.888888888876</v>
      </c>
      <c r="I60" s="22">
        <f t="shared" si="3"/>
        <v>447777.77777777705</v>
      </c>
    </row>
    <row r="61" spans="5:9" x14ac:dyDescent="0.25">
      <c r="E61" s="33">
        <v>57</v>
      </c>
      <c r="F61" s="30">
        <f t="shared" si="1"/>
        <v>3611.1111111111113</v>
      </c>
      <c r="G61" s="23">
        <f t="shared" si="4"/>
        <v>8955.555555555542</v>
      </c>
      <c r="H61" s="23">
        <f t="shared" si="2"/>
        <v>12566.666666666653</v>
      </c>
      <c r="I61" s="22">
        <f t="shared" si="3"/>
        <v>444166.66666666593</v>
      </c>
    </row>
    <row r="62" spans="5:9" x14ac:dyDescent="0.25">
      <c r="E62" s="33">
        <v>58</v>
      </c>
      <c r="F62" s="30">
        <f t="shared" si="1"/>
        <v>3611.1111111111113</v>
      </c>
      <c r="G62" s="23">
        <f t="shared" si="4"/>
        <v>8883.3333333333194</v>
      </c>
      <c r="H62" s="23">
        <f t="shared" si="2"/>
        <v>12494.444444444431</v>
      </c>
      <c r="I62" s="22">
        <f t="shared" si="3"/>
        <v>440555.55555555481</v>
      </c>
    </row>
    <row r="63" spans="5:9" x14ac:dyDescent="0.25">
      <c r="E63" s="33">
        <v>59</v>
      </c>
      <c r="F63" s="30">
        <f t="shared" si="1"/>
        <v>3611.1111111111113</v>
      </c>
      <c r="G63" s="23">
        <f t="shared" si="4"/>
        <v>8811.1111111110968</v>
      </c>
      <c r="H63" s="23">
        <f t="shared" si="2"/>
        <v>12422.222222222208</v>
      </c>
      <c r="I63" s="22">
        <f t="shared" si="3"/>
        <v>436944.44444444368</v>
      </c>
    </row>
    <row r="64" spans="5:9" x14ac:dyDescent="0.25">
      <c r="E64" s="33">
        <v>60</v>
      </c>
      <c r="F64" s="30">
        <f t="shared" si="1"/>
        <v>3611.1111111111113</v>
      </c>
      <c r="G64" s="23">
        <f t="shared" si="4"/>
        <v>8738.8888888888741</v>
      </c>
      <c r="H64" s="23">
        <f t="shared" si="2"/>
        <v>12349.999999999985</v>
      </c>
      <c r="I64" s="22">
        <f t="shared" si="3"/>
        <v>433333.33333333256</v>
      </c>
    </row>
    <row r="65" spans="5:9" x14ac:dyDescent="0.25">
      <c r="E65" s="33">
        <v>61</v>
      </c>
      <c r="F65" s="30">
        <f t="shared" si="1"/>
        <v>3611.1111111111113</v>
      </c>
      <c r="G65" s="23">
        <f t="shared" si="4"/>
        <v>8666.6666666666515</v>
      </c>
      <c r="H65" s="23">
        <f t="shared" si="2"/>
        <v>12277.777777777763</v>
      </c>
      <c r="I65" s="22">
        <f t="shared" si="3"/>
        <v>429722.22222222143</v>
      </c>
    </row>
    <row r="66" spans="5:9" x14ac:dyDescent="0.25">
      <c r="E66" s="33">
        <v>62</v>
      </c>
      <c r="F66" s="30">
        <f t="shared" si="1"/>
        <v>3611.1111111111113</v>
      </c>
      <c r="G66" s="23">
        <f t="shared" si="4"/>
        <v>8594.4444444444289</v>
      </c>
      <c r="H66" s="23">
        <f t="shared" si="2"/>
        <v>12205.55555555554</v>
      </c>
      <c r="I66" s="22">
        <f t="shared" si="3"/>
        <v>426111.11111111031</v>
      </c>
    </row>
    <row r="67" spans="5:9" x14ac:dyDescent="0.25">
      <c r="E67" s="33">
        <v>63</v>
      </c>
      <c r="F67" s="30">
        <f t="shared" si="1"/>
        <v>3611.1111111111113</v>
      </c>
      <c r="G67" s="23">
        <f t="shared" si="4"/>
        <v>8522.2222222222063</v>
      </c>
      <c r="H67" s="23">
        <f t="shared" si="2"/>
        <v>12133.333333333318</v>
      </c>
      <c r="I67" s="22">
        <f t="shared" si="3"/>
        <v>422499.99999999919</v>
      </c>
    </row>
    <row r="68" spans="5:9" x14ac:dyDescent="0.25">
      <c r="E68" s="33">
        <v>64</v>
      </c>
      <c r="F68" s="30">
        <f t="shared" si="1"/>
        <v>3611.1111111111113</v>
      </c>
      <c r="G68" s="23">
        <f t="shared" si="4"/>
        <v>8449.9999999999836</v>
      </c>
      <c r="H68" s="23">
        <f t="shared" si="2"/>
        <v>12061.111111111095</v>
      </c>
      <c r="I68" s="22">
        <f t="shared" si="3"/>
        <v>418888.88888888806</v>
      </c>
    </row>
    <row r="69" spans="5:9" x14ac:dyDescent="0.25">
      <c r="E69" s="33">
        <v>65</v>
      </c>
      <c r="F69" s="30">
        <f t="shared" si="1"/>
        <v>3611.1111111111113</v>
      </c>
      <c r="G69" s="23">
        <f t="shared" ref="G69:G100" si="5">I68*$C$3</f>
        <v>8377.777777777761</v>
      </c>
      <c r="H69" s="23">
        <f t="shared" si="2"/>
        <v>11988.888888888872</v>
      </c>
      <c r="I69" s="22">
        <f t="shared" si="3"/>
        <v>415277.77777777694</v>
      </c>
    </row>
    <row r="70" spans="5:9" x14ac:dyDescent="0.25">
      <c r="E70" s="33">
        <v>66</v>
      </c>
      <c r="F70" s="30">
        <f t="shared" ref="F70:F133" si="6">$I$4/$E$184</f>
        <v>3611.1111111111113</v>
      </c>
      <c r="G70" s="23">
        <f t="shared" si="5"/>
        <v>8305.5555555555384</v>
      </c>
      <c r="H70" s="23">
        <f t="shared" ref="H70:H133" si="7">G70+F70</f>
        <v>11916.66666666665</v>
      </c>
      <c r="I70" s="22">
        <f t="shared" ref="I70:I133" si="8">I69-F70</f>
        <v>411666.66666666581</v>
      </c>
    </row>
    <row r="71" spans="5:9" x14ac:dyDescent="0.25">
      <c r="E71" s="33">
        <v>67</v>
      </c>
      <c r="F71" s="30">
        <f t="shared" si="6"/>
        <v>3611.1111111111113</v>
      </c>
      <c r="G71" s="23">
        <f t="shared" si="5"/>
        <v>8233.3333333333157</v>
      </c>
      <c r="H71" s="23">
        <f t="shared" si="7"/>
        <v>11844.444444444427</v>
      </c>
      <c r="I71" s="22">
        <f t="shared" si="8"/>
        <v>408055.55555555469</v>
      </c>
    </row>
    <row r="72" spans="5:9" x14ac:dyDescent="0.25">
      <c r="E72" s="33">
        <v>68</v>
      </c>
      <c r="F72" s="30">
        <f t="shared" si="6"/>
        <v>3611.1111111111113</v>
      </c>
      <c r="G72" s="23">
        <f t="shared" si="5"/>
        <v>8161.111111111094</v>
      </c>
      <c r="H72" s="23">
        <f t="shared" si="7"/>
        <v>11772.222222222204</v>
      </c>
      <c r="I72" s="22">
        <f t="shared" si="8"/>
        <v>404444.44444444356</v>
      </c>
    </row>
    <row r="73" spans="5:9" x14ac:dyDescent="0.25">
      <c r="E73" s="33">
        <v>69</v>
      </c>
      <c r="F73" s="30">
        <f t="shared" si="6"/>
        <v>3611.1111111111113</v>
      </c>
      <c r="G73" s="23">
        <f t="shared" si="5"/>
        <v>8088.8888888888714</v>
      </c>
      <c r="H73" s="23">
        <f t="shared" si="7"/>
        <v>11699.999999999982</v>
      </c>
      <c r="I73" s="22">
        <f t="shared" si="8"/>
        <v>400833.33333333244</v>
      </c>
    </row>
    <row r="74" spans="5:9" x14ac:dyDescent="0.25">
      <c r="E74" s="33">
        <v>70</v>
      </c>
      <c r="F74" s="30">
        <f t="shared" si="6"/>
        <v>3611.1111111111113</v>
      </c>
      <c r="G74" s="23">
        <f t="shared" si="5"/>
        <v>8016.6666666666488</v>
      </c>
      <c r="H74" s="23">
        <f t="shared" si="7"/>
        <v>11627.777777777759</v>
      </c>
      <c r="I74" s="22">
        <f t="shared" si="8"/>
        <v>397222.22222222132</v>
      </c>
    </row>
    <row r="75" spans="5:9" x14ac:dyDescent="0.25">
      <c r="E75" s="33">
        <v>71</v>
      </c>
      <c r="F75" s="30">
        <f t="shared" si="6"/>
        <v>3611.1111111111113</v>
      </c>
      <c r="G75" s="23">
        <f t="shared" si="5"/>
        <v>7944.4444444444262</v>
      </c>
      <c r="H75" s="23">
        <f t="shared" si="7"/>
        <v>11555.555555555537</v>
      </c>
      <c r="I75" s="22">
        <f t="shared" si="8"/>
        <v>393611.11111111019</v>
      </c>
    </row>
    <row r="76" spans="5:9" x14ac:dyDescent="0.25">
      <c r="E76" s="33">
        <v>72</v>
      </c>
      <c r="F76" s="30">
        <f t="shared" si="6"/>
        <v>3611.1111111111113</v>
      </c>
      <c r="G76" s="23">
        <f t="shared" si="5"/>
        <v>7872.2222222222044</v>
      </c>
      <c r="H76" s="23">
        <f t="shared" si="7"/>
        <v>11483.333333333316</v>
      </c>
      <c r="I76" s="22">
        <f t="shared" si="8"/>
        <v>389999.99999999907</v>
      </c>
    </row>
    <row r="77" spans="5:9" x14ac:dyDescent="0.25">
      <c r="E77" s="33">
        <v>73</v>
      </c>
      <c r="F77" s="30">
        <f t="shared" si="6"/>
        <v>3611.1111111111113</v>
      </c>
      <c r="G77" s="23">
        <f t="shared" si="5"/>
        <v>7799.9999999999818</v>
      </c>
      <c r="H77" s="23">
        <f t="shared" si="7"/>
        <v>11411.111111111093</v>
      </c>
      <c r="I77" s="22">
        <f t="shared" si="8"/>
        <v>386388.88888888794</v>
      </c>
    </row>
    <row r="78" spans="5:9" x14ac:dyDescent="0.25">
      <c r="E78" s="33">
        <v>74</v>
      </c>
      <c r="F78" s="30">
        <f t="shared" si="6"/>
        <v>3611.1111111111113</v>
      </c>
      <c r="G78" s="23">
        <f t="shared" si="5"/>
        <v>7727.7777777777592</v>
      </c>
      <c r="H78" s="23">
        <f t="shared" si="7"/>
        <v>11338.88888888887</v>
      </c>
      <c r="I78" s="22">
        <f t="shared" si="8"/>
        <v>382777.77777777682</v>
      </c>
    </row>
    <row r="79" spans="5:9" x14ac:dyDescent="0.25">
      <c r="E79" s="33">
        <v>75</v>
      </c>
      <c r="F79" s="30">
        <f t="shared" si="6"/>
        <v>3611.1111111111113</v>
      </c>
      <c r="G79" s="23">
        <f t="shared" si="5"/>
        <v>7655.5555555555366</v>
      </c>
      <c r="H79" s="23">
        <f t="shared" si="7"/>
        <v>11266.666666666648</v>
      </c>
      <c r="I79" s="22">
        <f t="shared" si="8"/>
        <v>379166.6666666657</v>
      </c>
    </row>
    <row r="80" spans="5:9" x14ac:dyDescent="0.25">
      <c r="E80" s="33">
        <v>76</v>
      </c>
      <c r="F80" s="30">
        <f t="shared" si="6"/>
        <v>3611.1111111111113</v>
      </c>
      <c r="G80" s="23">
        <f t="shared" si="5"/>
        <v>7583.3333333333139</v>
      </c>
      <c r="H80" s="23">
        <f t="shared" si="7"/>
        <v>11194.444444444425</v>
      </c>
      <c r="I80" s="22">
        <f t="shared" si="8"/>
        <v>375555.55555555457</v>
      </c>
    </row>
    <row r="81" spans="5:9" x14ac:dyDescent="0.25">
      <c r="E81" s="33">
        <v>77</v>
      </c>
      <c r="F81" s="30">
        <f t="shared" si="6"/>
        <v>3611.1111111111113</v>
      </c>
      <c r="G81" s="23">
        <f t="shared" si="5"/>
        <v>7511.1111111110913</v>
      </c>
      <c r="H81" s="23">
        <f t="shared" si="7"/>
        <v>11122.222222222203</v>
      </c>
      <c r="I81" s="22">
        <f t="shared" si="8"/>
        <v>371944.44444444345</v>
      </c>
    </row>
    <row r="82" spans="5:9" x14ac:dyDescent="0.25">
      <c r="E82" s="33">
        <v>78</v>
      </c>
      <c r="F82" s="30">
        <f t="shared" si="6"/>
        <v>3611.1111111111113</v>
      </c>
      <c r="G82" s="23">
        <f t="shared" si="5"/>
        <v>7438.8888888888687</v>
      </c>
      <c r="H82" s="23">
        <f t="shared" si="7"/>
        <v>11049.99999999998</v>
      </c>
      <c r="I82" s="22">
        <f t="shared" si="8"/>
        <v>368333.33333333232</v>
      </c>
    </row>
    <row r="83" spans="5:9" x14ac:dyDescent="0.25">
      <c r="E83" s="33">
        <v>79</v>
      </c>
      <c r="F83" s="30">
        <f t="shared" si="6"/>
        <v>3611.1111111111113</v>
      </c>
      <c r="G83" s="23">
        <f t="shared" si="5"/>
        <v>7366.666666666647</v>
      </c>
      <c r="H83" s="23">
        <f t="shared" si="7"/>
        <v>10977.777777777759</v>
      </c>
      <c r="I83" s="22">
        <f t="shared" si="8"/>
        <v>364722.2222222212</v>
      </c>
    </row>
    <row r="84" spans="5:9" x14ac:dyDescent="0.25">
      <c r="E84" s="33">
        <v>80</v>
      </c>
      <c r="F84" s="30">
        <f t="shared" si="6"/>
        <v>3611.1111111111113</v>
      </c>
      <c r="G84" s="23">
        <f t="shared" si="5"/>
        <v>7294.4444444444243</v>
      </c>
      <c r="H84" s="23">
        <f t="shared" si="7"/>
        <v>10905.555555555537</v>
      </c>
      <c r="I84" s="22">
        <f t="shared" si="8"/>
        <v>361111.11111111008</v>
      </c>
    </row>
    <row r="85" spans="5:9" x14ac:dyDescent="0.25">
      <c r="E85" s="33">
        <v>81</v>
      </c>
      <c r="F85" s="30">
        <f t="shared" si="6"/>
        <v>3611.1111111111113</v>
      </c>
      <c r="G85" s="23">
        <f t="shared" si="5"/>
        <v>7222.2222222222017</v>
      </c>
      <c r="H85" s="23">
        <f t="shared" si="7"/>
        <v>10833.333333333314</v>
      </c>
      <c r="I85" s="22">
        <f t="shared" si="8"/>
        <v>357499.99999999895</v>
      </c>
    </row>
    <row r="86" spans="5:9" x14ac:dyDescent="0.25">
      <c r="E86" s="33">
        <v>82</v>
      </c>
      <c r="F86" s="30">
        <f t="shared" si="6"/>
        <v>3611.1111111111113</v>
      </c>
      <c r="G86" s="23">
        <f t="shared" si="5"/>
        <v>7149.9999999999791</v>
      </c>
      <c r="H86" s="23">
        <f t="shared" si="7"/>
        <v>10761.111111111091</v>
      </c>
      <c r="I86" s="22">
        <f t="shared" si="8"/>
        <v>353888.88888888783</v>
      </c>
    </row>
    <row r="87" spans="5:9" x14ac:dyDescent="0.25">
      <c r="E87" s="33">
        <v>83</v>
      </c>
      <c r="F87" s="30">
        <f t="shared" si="6"/>
        <v>3611.1111111111113</v>
      </c>
      <c r="G87" s="23">
        <f t="shared" si="5"/>
        <v>7077.7777777777565</v>
      </c>
      <c r="H87" s="23">
        <f t="shared" si="7"/>
        <v>10688.888888888869</v>
      </c>
      <c r="I87" s="22">
        <f t="shared" si="8"/>
        <v>350277.7777777767</v>
      </c>
    </row>
    <row r="88" spans="5:9" x14ac:dyDescent="0.25">
      <c r="E88" s="33">
        <v>84</v>
      </c>
      <c r="F88" s="30">
        <f t="shared" si="6"/>
        <v>3611.1111111111113</v>
      </c>
      <c r="G88" s="23">
        <f t="shared" si="5"/>
        <v>7005.5555555555338</v>
      </c>
      <c r="H88" s="23">
        <f t="shared" si="7"/>
        <v>10616.666666666646</v>
      </c>
      <c r="I88" s="22">
        <f t="shared" si="8"/>
        <v>346666.66666666558</v>
      </c>
    </row>
    <row r="89" spans="5:9" x14ac:dyDescent="0.25">
      <c r="E89" s="33">
        <v>85</v>
      </c>
      <c r="F89" s="30">
        <f t="shared" si="6"/>
        <v>3611.1111111111113</v>
      </c>
      <c r="G89" s="23">
        <f t="shared" si="5"/>
        <v>6933.3333333333121</v>
      </c>
      <c r="H89" s="23">
        <f t="shared" si="7"/>
        <v>10544.444444444423</v>
      </c>
      <c r="I89" s="22">
        <f t="shared" si="8"/>
        <v>343055.55555555446</v>
      </c>
    </row>
    <row r="90" spans="5:9" x14ac:dyDescent="0.25">
      <c r="E90" s="33">
        <v>86</v>
      </c>
      <c r="F90" s="30">
        <f t="shared" si="6"/>
        <v>3611.1111111111113</v>
      </c>
      <c r="G90" s="23">
        <f t="shared" si="5"/>
        <v>6861.1111111110895</v>
      </c>
      <c r="H90" s="23">
        <f t="shared" si="7"/>
        <v>10472.222222222201</v>
      </c>
      <c r="I90" s="22">
        <f t="shared" si="8"/>
        <v>339444.44444444333</v>
      </c>
    </row>
    <row r="91" spans="5:9" x14ac:dyDescent="0.25">
      <c r="E91" s="33">
        <v>87</v>
      </c>
      <c r="F91" s="30">
        <f t="shared" si="6"/>
        <v>3611.1111111111113</v>
      </c>
      <c r="G91" s="23">
        <f t="shared" si="5"/>
        <v>6788.8888888888669</v>
      </c>
      <c r="H91" s="23">
        <f t="shared" si="7"/>
        <v>10399.999999999978</v>
      </c>
      <c r="I91" s="22">
        <f t="shared" si="8"/>
        <v>335833.33333333221</v>
      </c>
    </row>
    <row r="92" spans="5:9" x14ac:dyDescent="0.25">
      <c r="E92" s="33">
        <v>88</v>
      </c>
      <c r="F92" s="30">
        <f t="shared" si="6"/>
        <v>3611.1111111111113</v>
      </c>
      <c r="G92" s="23">
        <f t="shared" si="5"/>
        <v>6716.6666666666442</v>
      </c>
      <c r="H92" s="23">
        <f t="shared" si="7"/>
        <v>10327.777777777756</v>
      </c>
      <c r="I92" s="22">
        <f t="shared" si="8"/>
        <v>332222.22222222108</v>
      </c>
    </row>
    <row r="93" spans="5:9" x14ac:dyDescent="0.25">
      <c r="E93" s="33">
        <v>89</v>
      </c>
      <c r="F93" s="30">
        <f t="shared" si="6"/>
        <v>3611.1111111111113</v>
      </c>
      <c r="G93" s="23">
        <f t="shared" si="5"/>
        <v>6644.4444444444216</v>
      </c>
      <c r="H93" s="23">
        <f t="shared" si="7"/>
        <v>10255.555555555533</v>
      </c>
      <c r="I93" s="22">
        <f t="shared" si="8"/>
        <v>328611.11111110996</v>
      </c>
    </row>
    <row r="94" spans="5:9" x14ac:dyDescent="0.25">
      <c r="E94" s="33">
        <v>90</v>
      </c>
      <c r="F94" s="30">
        <f t="shared" si="6"/>
        <v>3611.1111111111113</v>
      </c>
      <c r="G94" s="23">
        <f t="shared" si="5"/>
        <v>6572.222222222199</v>
      </c>
      <c r="H94" s="23">
        <f t="shared" si="7"/>
        <v>10183.33333333331</v>
      </c>
      <c r="I94" s="22">
        <f t="shared" si="8"/>
        <v>324999.99999999884</v>
      </c>
    </row>
    <row r="95" spans="5:9" x14ac:dyDescent="0.25">
      <c r="E95" s="33">
        <v>91</v>
      </c>
      <c r="F95" s="30">
        <f t="shared" si="6"/>
        <v>3611.1111111111113</v>
      </c>
      <c r="G95" s="23">
        <f t="shared" si="5"/>
        <v>6499.9999999999773</v>
      </c>
      <c r="H95" s="23">
        <f t="shared" si="7"/>
        <v>10111.111111111088</v>
      </c>
      <c r="I95" s="22">
        <f t="shared" si="8"/>
        <v>321388.88888888771</v>
      </c>
    </row>
    <row r="96" spans="5:9" x14ac:dyDescent="0.25">
      <c r="E96" s="33">
        <v>92</v>
      </c>
      <c r="F96" s="30">
        <f t="shared" si="6"/>
        <v>3611.1111111111113</v>
      </c>
      <c r="G96" s="23">
        <f t="shared" si="5"/>
        <v>6427.7777777777546</v>
      </c>
      <c r="H96" s="23">
        <f t="shared" si="7"/>
        <v>10038.888888888865</v>
      </c>
      <c r="I96" s="22">
        <f t="shared" si="8"/>
        <v>317777.77777777659</v>
      </c>
    </row>
    <row r="97" spans="5:9" x14ac:dyDescent="0.25">
      <c r="E97" s="33">
        <v>93</v>
      </c>
      <c r="F97" s="30">
        <f t="shared" si="6"/>
        <v>3611.1111111111113</v>
      </c>
      <c r="G97" s="23">
        <f t="shared" si="5"/>
        <v>6355.555555555532</v>
      </c>
      <c r="H97" s="23">
        <f t="shared" si="7"/>
        <v>9966.6666666666424</v>
      </c>
      <c r="I97" s="22">
        <f t="shared" si="8"/>
        <v>314166.66666666546</v>
      </c>
    </row>
    <row r="98" spans="5:9" x14ac:dyDescent="0.25">
      <c r="E98" s="33">
        <v>94</v>
      </c>
      <c r="F98" s="30">
        <f t="shared" si="6"/>
        <v>3611.1111111111113</v>
      </c>
      <c r="G98" s="23">
        <f t="shared" si="5"/>
        <v>6283.3333333333094</v>
      </c>
      <c r="H98" s="23">
        <f t="shared" si="7"/>
        <v>9894.4444444444198</v>
      </c>
      <c r="I98" s="22">
        <f t="shared" si="8"/>
        <v>310555.55555555434</v>
      </c>
    </row>
    <row r="99" spans="5:9" x14ac:dyDescent="0.25">
      <c r="E99" s="33">
        <v>95</v>
      </c>
      <c r="F99" s="30">
        <f t="shared" si="6"/>
        <v>3611.1111111111113</v>
      </c>
      <c r="G99" s="23">
        <f t="shared" si="5"/>
        <v>6211.1111111110868</v>
      </c>
      <c r="H99" s="23">
        <f t="shared" si="7"/>
        <v>9822.2222222221972</v>
      </c>
      <c r="I99" s="22">
        <f t="shared" si="8"/>
        <v>306944.44444444322</v>
      </c>
    </row>
    <row r="100" spans="5:9" x14ac:dyDescent="0.25">
      <c r="E100" s="33">
        <v>96</v>
      </c>
      <c r="F100" s="30">
        <f t="shared" si="6"/>
        <v>3611.1111111111113</v>
      </c>
      <c r="G100" s="23">
        <f t="shared" si="5"/>
        <v>6138.8888888888641</v>
      </c>
      <c r="H100" s="23">
        <f t="shared" si="7"/>
        <v>9749.9999999999745</v>
      </c>
      <c r="I100" s="22">
        <f t="shared" si="8"/>
        <v>303333.33333333209</v>
      </c>
    </row>
    <row r="101" spans="5:9" x14ac:dyDescent="0.25">
      <c r="E101" s="33">
        <v>97</v>
      </c>
      <c r="F101" s="30">
        <f t="shared" si="6"/>
        <v>3611.1111111111113</v>
      </c>
      <c r="G101" s="23">
        <f t="shared" ref="G101:G132" si="9">I100*$C$3</f>
        <v>6066.6666666666415</v>
      </c>
      <c r="H101" s="23">
        <f t="shared" si="7"/>
        <v>9677.7777777777519</v>
      </c>
      <c r="I101" s="22">
        <f t="shared" si="8"/>
        <v>299722.22222222097</v>
      </c>
    </row>
    <row r="102" spans="5:9" x14ac:dyDescent="0.25">
      <c r="E102" s="33">
        <v>98</v>
      </c>
      <c r="F102" s="30">
        <f t="shared" si="6"/>
        <v>3611.1111111111113</v>
      </c>
      <c r="G102" s="23">
        <f t="shared" si="9"/>
        <v>5994.4444444444198</v>
      </c>
      <c r="H102" s="23">
        <f t="shared" si="7"/>
        <v>9605.5555555555311</v>
      </c>
      <c r="I102" s="22">
        <f t="shared" si="8"/>
        <v>296111.11111110984</v>
      </c>
    </row>
    <row r="103" spans="5:9" x14ac:dyDescent="0.25">
      <c r="E103" s="33">
        <v>99</v>
      </c>
      <c r="F103" s="30">
        <f t="shared" si="6"/>
        <v>3611.1111111111113</v>
      </c>
      <c r="G103" s="23">
        <f t="shared" si="9"/>
        <v>5922.2222222221972</v>
      </c>
      <c r="H103" s="23">
        <f t="shared" si="7"/>
        <v>9533.3333333333085</v>
      </c>
      <c r="I103" s="22">
        <f t="shared" si="8"/>
        <v>292499.99999999872</v>
      </c>
    </row>
    <row r="104" spans="5:9" x14ac:dyDescent="0.25">
      <c r="E104" s="33">
        <v>100</v>
      </c>
      <c r="F104" s="30">
        <f t="shared" si="6"/>
        <v>3611.1111111111113</v>
      </c>
      <c r="G104" s="23">
        <f t="shared" si="9"/>
        <v>5849.9999999999745</v>
      </c>
      <c r="H104" s="23">
        <f t="shared" si="7"/>
        <v>9461.1111111110858</v>
      </c>
      <c r="I104" s="22">
        <f t="shared" si="8"/>
        <v>288888.8888888876</v>
      </c>
    </row>
    <row r="105" spans="5:9" x14ac:dyDescent="0.25">
      <c r="E105" s="33">
        <v>101</v>
      </c>
      <c r="F105" s="30">
        <f t="shared" si="6"/>
        <v>3611.1111111111113</v>
      </c>
      <c r="G105" s="23">
        <f t="shared" si="9"/>
        <v>5777.7777777777519</v>
      </c>
      <c r="H105" s="23">
        <f t="shared" si="7"/>
        <v>9388.8888888888632</v>
      </c>
      <c r="I105" s="22">
        <f t="shared" si="8"/>
        <v>285277.77777777647</v>
      </c>
    </row>
    <row r="106" spans="5:9" x14ac:dyDescent="0.25">
      <c r="E106" s="33">
        <v>102</v>
      </c>
      <c r="F106" s="30">
        <f t="shared" si="6"/>
        <v>3611.1111111111113</v>
      </c>
      <c r="G106" s="23">
        <f t="shared" si="9"/>
        <v>5705.5555555555293</v>
      </c>
      <c r="H106" s="23">
        <f t="shared" si="7"/>
        <v>9316.6666666666406</v>
      </c>
      <c r="I106" s="22">
        <f t="shared" si="8"/>
        <v>281666.66666666535</v>
      </c>
    </row>
    <row r="107" spans="5:9" x14ac:dyDescent="0.25">
      <c r="E107" s="33">
        <v>103</v>
      </c>
      <c r="F107" s="30">
        <f t="shared" si="6"/>
        <v>3611.1111111111113</v>
      </c>
      <c r="G107" s="23">
        <f t="shared" si="9"/>
        <v>5633.3333333333067</v>
      </c>
      <c r="H107" s="23">
        <f t="shared" si="7"/>
        <v>9244.444444444418</v>
      </c>
      <c r="I107" s="22">
        <f t="shared" si="8"/>
        <v>278055.55555555422</v>
      </c>
    </row>
    <row r="108" spans="5:9" x14ac:dyDescent="0.25">
      <c r="E108" s="33">
        <v>104</v>
      </c>
      <c r="F108" s="30">
        <f t="shared" si="6"/>
        <v>3611.1111111111113</v>
      </c>
      <c r="G108" s="23">
        <f t="shared" si="9"/>
        <v>5561.1111111110849</v>
      </c>
      <c r="H108" s="23">
        <f t="shared" si="7"/>
        <v>9172.2222222221972</v>
      </c>
      <c r="I108" s="22">
        <f t="shared" si="8"/>
        <v>274444.4444444431</v>
      </c>
    </row>
    <row r="109" spans="5:9" x14ac:dyDescent="0.25">
      <c r="E109" s="33">
        <v>105</v>
      </c>
      <c r="F109" s="30">
        <f t="shared" si="6"/>
        <v>3611.1111111111113</v>
      </c>
      <c r="G109" s="23">
        <f t="shared" si="9"/>
        <v>5488.8888888888623</v>
      </c>
      <c r="H109" s="23">
        <f t="shared" si="7"/>
        <v>9099.9999999999745</v>
      </c>
      <c r="I109" s="22">
        <f t="shared" si="8"/>
        <v>270833.33333333198</v>
      </c>
    </row>
    <row r="110" spans="5:9" x14ac:dyDescent="0.25">
      <c r="E110" s="33">
        <v>106</v>
      </c>
      <c r="F110" s="30">
        <f t="shared" si="6"/>
        <v>3611.1111111111113</v>
      </c>
      <c r="G110" s="23">
        <f t="shared" si="9"/>
        <v>5416.6666666666397</v>
      </c>
      <c r="H110" s="23">
        <f t="shared" si="7"/>
        <v>9027.7777777777519</v>
      </c>
      <c r="I110" s="22">
        <f t="shared" si="8"/>
        <v>267222.22222222085</v>
      </c>
    </row>
    <row r="111" spans="5:9" x14ac:dyDescent="0.25">
      <c r="E111" s="33">
        <v>107</v>
      </c>
      <c r="F111" s="30">
        <f t="shared" si="6"/>
        <v>3611.1111111111113</v>
      </c>
      <c r="G111" s="23">
        <f t="shared" si="9"/>
        <v>5344.4444444444171</v>
      </c>
      <c r="H111" s="23">
        <f t="shared" si="7"/>
        <v>8955.5555555555293</v>
      </c>
      <c r="I111" s="22">
        <f t="shared" si="8"/>
        <v>263611.11111110973</v>
      </c>
    </row>
    <row r="112" spans="5:9" x14ac:dyDescent="0.25">
      <c r="E112" s="33">
        <v>108</v>
      </c>
      <c r="F112" s="30">
        <f t="shared" si="6"/>
        <v>3611.1111111111113</v>
      </c>
      <c r="G112" s="23">
        <f t="shared" si="9"/>
        <v>5272.2222222221944</v>
      </c>
      <c r="H112" s="23">
        <f t="shared" si="7"/>
        <v>8883.3333333333067</v>
      </c>
      <c r="I112" s="22">
        <f t="shared" si="8"/>
        <v>259999.9999999986</v>
      </c>
    </row>
    <row r="113" spans="5:9" x14ac:dyDescent="0.25">
      <c r="E113" s="33">
        <v>109</v>
      </c>
      <c r="F113" s="30">
        <f t="shared" si="6"/>
        <v>3611.1111111111113</v>
      </c>
      <c r="G113" s="23">
        <f t="shared" si="9"/>
        <v>5199.9999999999718</v>
      </c>
      <c r="H113" s="23">
        <f t="shared" si="7"/>
        <v>8811.111111111084</v>
      </c>
      <c r="I113" s="22">
        <f t="shared" si="8"/>
        <v>256388.88888888748</v>
      </c>
    </row>
    <row r="114" spans="5:9" x14ac:dyDescent="0.25">
      <c r="E114" s="33">
        <v>110</v>
      </c>
      <c r="F114" s="30">
        <f t="shared" si="6"/>
        <v>3611.1111111111113</v>
      </c>
      <c r="G114" s="23">
        <f t="shared" si="9"/>
        <v>5127.7777777777501</v>
      </c>
      <c r="H114" s="23">
        <f t="shared" si="7"/>
        <v>8738.8888888888614</v>
      </c>
      <c r="I114" s="22">
        <f t="shared" si="8"/>
        <v>252777.77777777635</v>
      </c>
    </row>
    <row r="115" spans="5:9" x14ac:dyDescent="0.25">
      <c r="E115" s="33">
        <v>111</v>
      </c>
      <c r="F115" s="30">
        <f t="shared" si="6"/>
        <v>3611.1111111111113</v>
      </c>
      <c r="G115" s="23">
        <f t="shared" si="9"/>
        <v>5055.5555555555275</v>
      </c>
      <c r="H115" s="23">
        <f t="shared" si="7"/>
        <v>8666.6666666666388</v>
      </c>
      <c r="I115" s="22">
        <f t="shared" si="8"/>
        <v>249166.66666666523</v>
      </c>
    </row>
    <row r="116" spans="5:9" x14ac:dyDescent="0.25">
      <c r="E116" s="33">
        <v>112</v>
      </c>
      <c r="F116" s="30">
        <f t="shared" si="6"/>
        <v>3611.1111111111113</v>
      </c>
      <c r="G116" s="23">
        <f t="shared" si="9"/>
        <v>4983.3333333333048</v>
      </c>
      <c r="H116" s="23">
        <f t="shared" si="7"/>
        <v>8594.4444444444161</v>
      </c>
      <c r="I116" s="22">
        <f t="shared" si="8"/>
        <v>245555.55555555411</v>
      </c>
    </row>
    <row r="117" spans="5:9" x14ac:dyDescent="0.25">
      <c r="E117" s="33">
        <v>113</v>
      </c>
      <c r="F117" s="30">
        <f t="shared" si="6"/>
        <v>3611.1111111111113</v>
      </c>
      <c r="G117" s="23">
        <f t="shared" si="9"/>
        <v>4911.1111111110822</v>
      </c>
      <c r="H117" s="23">
        <f t="shared" si="7"/>
        <v>8522.2222222221935</v>
      </c>
      <c r="I117" s="22">
        <f t="shared" si="8"/>
        <v>241944.44444444298</v>
      </c>
    </row>
    <row r="118" spans="5:9" x14ac:dyDescent="0.25">
      <c r="E118" s="33">
        <v>114</v>
      </c>
      <c r="F118" s="30">
        <f t="shared" si="6"/>
        <v>3611.1111111111113</v>
      </c>
      <c r="G118" s="23">
        <f t="shared" si="9"/>
        <v>4838.8888888888596</v>
      </c>
      <c r="H118" s="23">
        <f t="shared" si="7"/>
        <v>8449.9999999999709</v>
      </c>
      <c r="I118" s="22">
        <f t="shared" si="8"/>
        <v>238333.33333333186</v>
      </c>
    </row>
    <row r="119" spans="5:9" x14ac:dyDescent="0.25">
      <c r="E119" s="33">
        <v>115</v>
      </c>
      <c r="F119" s="30">
        <f t="shared" si="6"/>
        <v>3611.1111111111113</v>
      </c>
      <c r="G119" s="23">
        <f t="shared" si="9"/>
        <v>4766.666666666637</v>
      </c>
      <c r="H119" s="23">
        <f t="shared" si="7"/>
        <v>8377.7777777777483</v>
      </c>
      <c r="I119" s="22">
        <f t="shared" si="8"/>
        <v>234722.22222222073</v>
      </c>
    </row>
    <row r="120" spans="5:9" x14ac:dyDescent="0.25">
      <c r="E120" s="33">
        <v>116</v>
      </c>
      <c r="F120" s="30">
        <f t="shared" si="6"/>
        <v>3611.1111111111113</v>
      </c>
      <c r="G120" s="23">
        <f t="shared" si="9"/>
        <v>4694.4444444444152</v>
      </c>
      <c r="H120" s="23">
        <f t="shared" si="7"/>
        <v>8305.5555555555256</v>
      </c>
      <c r="I120" s="22">
        <f t="shared" si="8"/>
        <v>231111.11111110961</v>
      </c>
    </row>
    <row r="121" spans="5:9" x14ac:dyDescent="0.25">
      <c r="E121" s="33">
        <v>117</v>
      </c>
      <c r="F121" s="30">
        <f t="shared" si="6"/>
        <v>3611.1111111111113</v>
      </c>
      <c r="G121" s="23">
        <f t="shared" si="9"/>
        <v>4622.2222222221926</v>
      </c>
      <c r="H121" s="23">
        <f t="shared" si="7"/>
        <v>8233.333333333303</v>
      </c>
      <c r="I121" s="22">
        <f t="shared" si="8"/>
        <v>227499.99999999849</v>
      </c>
    </row>
    <row r="122" spans="5:9" x14ac:dyDescent="0.25">
      <c r="E122" s="33">
        <v>118</v>
      </c>
      <c r="F122" s="30">
        <f t="shared" si="6"/>
        <v>3611.1111111111113</v>
      </c>
      <c r="G122" s="23">
        <f t="shared" si="9"/>
        <v>4549.99999999997</v>
      </c>
      <c r="H122" s="23">
        <f t="shared" si="7"/>
        <v>8161.1111111110813</v>
      </c>
      <c r="I122" s="22">
        <f t="shared" si="8"/>
        <v>223888.88888888736</v>
      </c>
    </row>
    <row r="123" spans="5:9" x14ac:dyDescent="0.25">
      <c r="E123" s="33">
        <v>119</v>
      </c>
      <c r="F123" s="30">
        <f t="shared" si="6"/>
        <v>3611.1111111111113</v>
      </c>
      <c r="G123" s="23">
        <f t="shared" si="9"/>
        <v>4477.7777777777474</v>
      </c>
      <c r="H123" s="23">
        <f t="shared" si="7"/>
        <v>8088.8888888888587</v>
      </c>
      <c r="I123" s="22">
        <f t="shared" si="8"/>
        <v>220277.77777777624</v>
      </c>
    </row>
    <row r="124" spans="5:9" x14ac:dyDescent="0.25">
      <c r="E124" s="33">
        <v>120</v>
      </c>
      <c r="F124" s="30">
        <f t="shared" si="6"/>
        <v>3611.1111111111113</v>
      </c>
      <c r="G124" s="23">
        <f t="shared" si="9"/>
        <v>4405.5555555555247</v>
      </c>
      <c r="H124" s="23">
        <f t="shared" si="7"/>
        <v>8016.666666666636</v>
      </c>
      <c r="I124" s="22">
        <f t="shared" si="8"/>
        <v>216666.66666666511</v>
      </c>
    </row>
    <row r="125" spans="5:9" x14ac:dyDescent="0.25">
      <c r="E125" s="33">
        <v>121</v>
      </c>
      <c r="F125" s="30">
        <f t="shared" si="6"/>
        <v>3611.1111111111113</v>
      </c>
      <c r="G125" s="23">
        <f t="shared" si="9"/>
        <v>4333.3333333333021</v>
      </c>
      <c r="H125" s="23">
        <f t="shared" si="7"/>
        <v>7944.4444444444134</v>
      </c>
      <c r="I125" s="22">
        <f t="shared" si="8"/>
        <v>213055.55555555399</v>
      </c>
    </row>
    <row r="126" spans="5:9" x14ac:dyDescent="0.25">
      <c r="E126" s="33">
        <v>122</v>
      </c>
      <c r="F126" s="30">
        <f t="shared" si="6"/>
        <v>3611.1111111111113</v>
      </c>
      <c r="G126" s="23">
        <f t="shared" si="9"/>
        <v>4261.1111111110795</v>
      </c>
      <c r="H126" s="23">
        <f t="shared" si="7"/>
        <v>7872.2222222221908</v>
      </c>
      <c r="I126" s="22">
        <f t="shared" si="8"/>
        <v>209444.44444444287</v>
      </c>
    </row>
    <row r="127" spans="5:9" x14ac:dyDescent="0.25">
      <c r="E127" s="33">
        <v>123</v>
      </c>
      <c r="F127" s="30">
        <f t="shared" si="6"/>
        <v>3611.1111111111113</v>
      </c>
      <c r="G127" s="23">
        <f t="shared" si="9"/>
        <v>4188.8888888888578</v>
      </c>
      <c r="H127" s="23">
        <f t="shared" si="7"/>
        <v>7799.9999999999691</v>
      </c>
      <c r="I127" s="22">
        <f t="shared" si="8"/>
        <v>205833.33333333174</v>
      </c>
    </row>
    <row r="128" spans="5:9" x14ac:dyDescent="0.25">
      <c r="E128" s="33">
        <v>124</v>
      </c>
      <c r="F128" s="30">
        <f t="shared" si="6"/>
        <v>3611.1111111111113</v>
      </c>
      <c r="G128" s="23">
        <f t="shared" si="9"/>
        <v>4116.6666666666351</v>
      </c>
      <c r="H128" s="23">
        <f t="shared" si="7"/>
        <v>7727.7777777777465</v>
      </c>
      <c r="I128" s="22">
        <f t="shared" si="8"/>
        <v>202222.22222222062</v>
      </c>
    </row>
    <row r="129" spans="5:9" x14ac:dyDescent="0.25">
      <c r="E129" s="33">
        <v>125</v>
      </c>
      <c r="F129" s="30">
        <f t="shared" si="6"/>
        <v>3611.1111111111113</v>
      </c>
      <c r="G129" s="23">
        <f t="shared" si="9"/>
        <v>4044.4444444444125</v>
      </c>
      <c r="H129" s="23">
        <f t="shared" si="7"/>
        <v>7655.5555555555238</v>
      </c>
      <c r="I129" s="22">
        <f t="shared" si="8"/>
        <v>198611.11111110949</v>
      </c>
    </row>
    <row r="130" spans="5:9" x14ac:dyDescent="0.25">
      <c r="E130" s="33">
        <v>126</v>
      </c>
      <c r="F130" s="30">
        <f t="shared" si="6"/>
        <v>3611.1111111111113</v>
      </c>
      <c r="G130" s="23">
        <f t="shared" si="9"/>
        <v>3972.2222222221899</v>
      </c>
      <c r="H130" s="23">
        <f t="shared" si="7"/>
        <v>7583.3333333333012</v>
      </c>
      <c r="I130" s="22">
        <f t="shared" si="8"/>
        <v>194999.99999999837</v>
      </c>
    </row>
    <row r="131" spans="5:9" x14ac:dyDescent="0.25">
      <c r="E131" s="33">
        <v>127</v>
      </c>
      <c r="F131" s="30">
        <f t="shared" si="6"/>
        <v>3611.1111111111113</v>
      </c>
      <c r="G131" s="23">
        <f t="shared" si="9"/>
        <v>3899.9999999999673</v>
      </c>
      <c r="H131" s="23">
        <f t="shared" si="7"/>
        <v>7511.1111111110786</v>
      </c>
      <c r="I131" s="22">
        <f t="shared" si="8"/>
        <v>191388.88888888725</v>
      </c>
    </row>
    <row r="132" spans="5:9" x14ac:dyDescent="0.25">
      <c r="E132" s="33">
        <v>128</v>
      </c>
      <c r="F132" s="30">
        <f t="shared" si="6"/>
        <v>3611.1111111111113</v>
      </c>
      <c r="G132" s="23">
        <f t="shared" si="9"/>
        <v>3827.7777777777451</v>
      </c>
      <c r="H132" s="23">
        <f t="shared" si="7"/>
        <v>7438.8888888888559</v>
      </c>
      <c r="I132" s="22">
        <f t="shared" si="8"/>
        <v>187777.77777777612</v>
      </c>
    </row>
    <row r="133" spans="5:9" x14ac:dyDescent="0.25">
      <c r="E133" s="33">
        <v>129</v>
      </c>
      <c r="F133" s="30">
        <f t="shared" si="6"/>
        <v>3611.1111111111113</v>
      </c>
      <c r="G133" s="23">
        <f t="shared" ref="G133:G164" si="10">I132*$C$3</f>
        <v>3755.5555555555225</v>
      </c>
      <c r="H133" s="23">
        <f t="shared" si="7"/>
        <v>7366.6666666666333</v>
      </c>
      <c r="I133" s="22">
        <f t="shared" si="8"/>
        <v>184166.666666665</v>
      </c>
    </row>
    <row r="134" spans="5:9" x14ac:dyDescent="0.25">
      <c r="E134" s="33">
        <v>130</v>
      </c>
      <c r="F134" s="30">
        <f t="shared" ref="F134:F184" si="11">$I$4/$E$184</f>
        <v>3611.1111111111113</v>
      </c>
      <c r="G134" s="23">
        <f t="shared" si="10"/>
        <v>3683.3333333332998</v>
      </c>
      <c r="H134" s="23">
        <f t="shared" ref="H134:H184" si="12">G134+F134</f>
        <v>7294.4444444444107</v>
      </c>
      <c r="I134" s="22">
        <f t="shared" ref="I134:I184" si="13">I133-F134</f>
        <v>180555.55555555387</v>
      </c>
    </row>
    <row r="135" spans="5:9" x14ac:dyDescent="0.25">
      <c r="E135" s="33">
        <v>131</v>
      </c>
      <c r="F135" s="30">
        <f t="shared" si="11"/>
        <v>3611.1111111111113</v>
      </c>
      <c r="G135" s="23">
        <f t="shared" si="10"/>
        <v>3611.1111111110777</v>
      </c>
      <c r="H135" s="23">
        <f t="shared" si="12"/>
        <v>7222.222222222189</v>
      </c>
      <c r="I135" s="22">
        <f t="shared" si="13"/>
        <v>176944.44444444275</v>
      </c>
    </row>
    <row r="136" spans="5:9" x14ac:dyDescent="0.25">
      <c r="E136" s="33">
        <v>132</v>
      </c>
      <c r="F136" s="30">
        <f t="shared" si="11"/>
        <v>3611.1111111111113</v>
      </c>
      <c r="G136" s="23">
        <f t="shared" si="10"/>
        <v>3538.888888888855</v>
      </c>
      <c r="H136" s="23">
        <f t="shared" si="12"/>
        <v>7149.9999999999663</v>
      </c>
      <c r="I136" s="22">
        <f t="shared" si="13"/>
        <v>173333.33333333163</v>
      </c>
    </row>
    <row r="137" spans="5:9" x14ac:dyDescent="0.25">
      <c r="E137" s="33">
        <v>133</v>
      </c>
      <c r="F137" s="30">
        <f t="shared" si="11"/>
        <v>3611.1111111111113</v>
      </c>
      <c r="G137" s="23">
        <f t="shared" si="10"/>
        <v>3466.6666666666324</v>
      </c>
      <c r="H137" s="23">
        <f t="shared" si="12"/>
        <v>7077.7777777777437</v>
      </c>
      <c r="I137" s="22">
        <f t="shared" si="13"/>
        <v>169722.2222222205</v>
      </c>
    </row>
    <row r="138" spans="5:9" x14ac:dyDescent="0.25">
      <c r="E138" s="33">
        <v>134</v>
      </c>
      <c r="F138" s="30">
        <f t="shared" si="11"/>
        <v>3611.1111111111113</v>
      </c>
      <c r="G138" s="23">
        <f t="shared" si="10"/>
        <v>3394.4444444444102</v>
      </c>
      <c r="H138" s="23">
        <f t="shared" si="12"/>
        <v>7005.555555555522</v>
      </c>
      <c r="I138" s="22">
        <f t="shared" si="13"/>
        <v>166111.11111110938</v>
      </c>
    </row>
    <row r="139" spans="5:9" x14ac:dyDescent="0.25">
      <c r="E139" s="33">
        <v>135</v>
      </c>
      <c r="F139" s="30">
        <f t="shared" si="11"/>
        <v>3611.1111111111113</v>
      </c>
      <c r="G139" s="23">
        <f t="shared" si="10"/>
        <v>3322.2222222221876</v>
      </c>
      <c r="H139" s="23">
        <f t="shared" si="12"/>
        <v>6933.3333333332994</v>
      </c>
      <c r="I139" s="22">
        <f t="shared" si="13"/>
        <v>162499.99999999825</v>
      </c>
    </row>
    <row r="140" spans="5:9" x14ac:dyDescent="0.25">
      <c r="E140" s="33">
        <v>136</v>
      </c>
      <c r="F140" s="30">
        <f t="shared" si="11"/>
        <v>3611.1111111111113</v>
      </c>
      <c r="G140" s="23">
        <f t="shared" si="10"/>
        <v>3249.999999999965</v>
      </c>
      <c r="H140" s="23">
        <f t="shared" si="12"/>
        <v>6861.1111111110768</v>
      </c>
      <c r="I140" s="22">
        <f t="shared" si="13"/>
        <v>158888.88888888713</v>
      </c>
    </row>
    <row r="141" spans="5:9" x14ac:dyDescent="0.25">
      <c r="E141" s="33">
        <v>137</v>
      </c>
      <c r="F141" s="30">
        <f t="shared" si="11"/>
        <v>3611.1111111111113</v>
      </c>
      <c r="G141" s="23">
        <f t="shared" si="10"/>
        <v>3177.7777777777428</v>
      </c>
      <c r="H141" s="23">
        <f t="shared" si="12"/>
        <v>6788.8888888888541</v>
      </c>
      <c r="I141" s="22">
        <f t="shared" si="13"/>
        <v>155277.77777777601</v>
      </c>
    </row>
    <row r="142" spans="5:9" x14ac:dyDescent="0.25">
      <c r="E142" s="33">
        <v>138</v>
      </c>
      <c r="F142" s="30">
        <f t="shared" si="11"/>
        <v>3611.1111111111113</v>
      </c>
      <c r="G142" s="23">
        <f t="shared" si="10"/>
        <v>3105.5555555555202</v>
      </c>
      <c r="H142" s="23">
        <f t="shared" si="12"/>
        <v>6716.6666666666315</v>
      </c>
      <c r="I142" s="22">
        <f t="shared" si="13"/>
        <v>151666.66666666488</v>
      </c>
    </row>
    <row r="143" spans="5:9" x14ac:dyDescent="0.25">
      <c r="E143" s="33">
        <v>139</v>
      </c>
      <c r="F143" s="30">
        <f t="shared" si="11"/>
        <v>3611.1111111111113</v>
      </c>
      <c r="G143" s="23">
        <f t="shared" si="10"/>
        <v>3033.3333333332976</v>
      </c>
      <c r="H143" s="23">
        <f t="shared" si="12"/>
        <v>6644.4444444444089</v>
      </c>
      <c r="I143" s="22">
        <f t="shared" si="13"/>
        <v>148055.55555555376</v>
      </c>
    </row>
    <row r="144" spans="5:9" x14ac:dyDescent="0.25">
      <c r="E144" s="33">
        <v>140</v>
      </c>
      <c r="F144" s="30">
        <f t="shared" si="11"/>
        <v>3611.1111111111113</v>
      </c>
      <c r="G144" s="23">
        <f t="shared" si="10"/>
        <v>2961.1111111110754</v>
      </c>
      <c r="H144" s="23">
        <f t="shared" si="12"/>
        <v>6572.2222222221862</v>
      </c>
      <c r="I144" s="22">
        <f t="shared" si="13"/>
        <v>144444.44444444263</v>
      </c>
    </row>
    <row r="145" spans="5:9" x14ac:dyDescent="0.25">
      <c r="E145" s="33">
        <v>141</v>
      </c>
      <c r="F145" s="30">
        <f t="shared" si="11"/>
        <v>3611.1111111111113</v>
      </c>
      <c r="G145" s="23">
        <f t="shared" si="10"/>
        <v>2888.8888888888528</v>
      </c>
      <c r="H145" s="23">
        <f t="shared" si="12"/>
        <v>6499.9999999999636</v>
      </c>
      <c r="I145" s="22">
        <f t="shared" si="13"/>
        <v>140833.33333333151</v>
      </c>
    </row>
    <row r="146" spans="5:9" x14ac:dyDescent="0.25">
      <c r="E146" s="33">
        <v>142</v>
      </c>
      <c r="F146" s="30">
        <f t="shared" si="11"/>
        <v>3611.1111111111113</v>
      </c>
      <c r="G146" s="23">
        <f t="shared" si="10"/>
        <v>2816.6666666666301</v>
      </c>
      <c r="H146" s="23">
        <f t="shared" si="12"/>
        <v>6427.777777777741</v>
      </c>
      <c r="I146" s="22">
        <f t="shared" si="13"/>
        <v>137222.22222222039</v>
      </c>
    </row>
    <row r="147" spans="5:9" x14ac:dyDescent="0.25">
      <c r="E147" s="33">
        <v>143</v>
      </c>
      <c r="F147" s="30">
        <f t="shared" si="11"/>
        <v>3611.1111111111113</v>
      </c>
      <c r="G147" s="23">
        <f t="shared" si="10"/>
        <v>2744.444444444408</v>
      </c>
      <c r="H147" s="23">
        <f t="shared" si="12"/>
        <v>6355.5555555555193</v>
      </c>
      <c r="I147" s="22">
        <f t="shared" si="13"/>
        <v>133611.11111110926</v>
      </c>
    </row>
    <row r="148" spans="5:9" x14ac:dyDescent="0.25">
      <c r="E148" s="33">
        <v>144</v>
      </c>
      <c r="F148" s="30">
        <f t="shared" si="11"/>
        <v>3611.1111111111113</v>
      </c>
      <c r="G148" s="23">
        <f t="shared" si="10"/>
        <v>2672.2222222221853</v>
      </c>
      <c r="H148" s="23">
        <f t="shared" si="12"/>
        <v>6283.3333333332967</v>
      </c>
      <c r="I148" s="22">
        <f t="shared" si="13"/>
        <v>129999.99999999815</v>
      </c>
    </row>
    <row r="149" spans="5:9" x14ac:dyDescent="0.25">
      <c r="E149" s="33">
        <v>145</v>
      </c>
      <c r="F149" s="30">
        <f t="shared" si="11"/>
        <v>3611.1111111111113</v>
      </c>
      <c r="G149" s="23">
        <f t="shared" si="10"/>
        <v>2599.9999999999632</v>
      </c>
      <c r="H149" s="23">
        <f t="shared" si="12"/>
        <v>6211.1111111110749</v>
      </c>
      <c r="I149" s="22">
        <f t="shared" si="13"/>
        <v>126388.88888888704</v>
      </c>
    </row>
    <row r="150" spans="5:9" x14ac:dyDescent="0.25">
      <c r="E150" s="33">
        <v>146</v>
      </c>
      <c r="F150" s="30">
        <f t="shared" si="11"/>
        <v>3611.1111111111113</v>
      </c>
      <c r="G150" s="23">
        <f t="shared" si="10"/>
        <v>2527.777777777741</v>
      </c>
      <c r="H150" s="23">
        <f t="shared" si="12"/>
        <v>6138.8888888888523</v>
      </c>
      <c r="I150" s="22">
        <f t="shared" si="13"/>
        <v>122777.77777777593</v>
      </c>
    </row>
    <row r="151" spans="5:9" x14ac:dyDescent="0.25">
      <c r="E151" s="33">
        <v>147</v>
      </c>
      <c r="F151" s="30">
        <f t="shared" si="11"/>
        <v>3611.1111111111113</v>
      </c>
      <c r="G151" s="23">
        <f t="shared" si="10"/>
        <v>2455.5555555555188</v>
      </c>
      <c r="H151" s="23">
        <f t="shared" si="12"/>
        <v>6066.6666666666297</v>
      </c>
      <c r="I151" s="22">
        <f t="shared" si="13"/>
        <v>119166.66666666482</v>
      </c>
    </row>
    <row r="152" spans="5:9" x14ac:dyDescent="0.25">
      <c r="E152" s="33">
        <v>148</v>
      </c>
      <c r="F152" s="30">
        <f t="shared" si="11"/>
        <v>3611.1111111111113</v>
      </c>
      <c r="G152" s="23">
        <f t="shared" si="10"/>
        <v>2383.3333333332967</v>
      </c>
      <c r="H152" s="23">
        <f t="shared" si="12"/>
        <v>5994.444444444408</v>
      </c>
      <c r="I152" s="22">
        <f t="shared" si="13"/>
        <v>115555.55555555371</v>
      </c>
    </row>
    <row r="153" spans="5:9" x14ac:dyDescent="0.25">
      <c r="E153" s="33">
        <v>149</v>
      </c>
      <c r="F153" s="30">
        <f t="shared" si="11"/>
        <v>3611.1111111111113</v>
      </c>
      <c r="G153" s="23">
        <f t="shared" si="10"/>
        <v>2311.1111111110745</v>
      </c>
      <c r="H153" s="23">
        <f t="shared" si="12"/>
        <v>5922.2222222221862</v>
      </c>
      <c r="I153" s="22">
        <f t="shared" si="13"/>
        <v>111944.4444444426</v>
      </c>
    </row>
    <row r="154" spans="5:9" x14ac:dyDescent="0.25">
      <c r="E154" s="33">
        <v>150</v>
      </c>
      <c r="F154" s="30">
        <f t="shared" si="11"/>
        <v>3611.1111111111113</v>
      </c>
      <c r="G154" s="23">
        <f t="shared" si="10"/>
        <v>2238.8888888888523</v>
      </c>
      <c r="H154" s="23">
        <f t="shared" si="12"/>
        <v>5849.9999999999636</v>
      </c>
      <c r="I154" s="22">
        <f t="shared" si="13"/>
        <v>108333.33333333149</v>
      </c>
    </row>
    <row r="155" spans="5:9" x14ac:dyDescent="0.25">
      <c r="E155" s="33">
        <v>151</v>
      </c>
      <c r="F155" s="30">
        <f t="shared" si="11"/>
        <v>3611.1111111111113</v>
      </c>
      <c r="G155" s="23">
        <f t="shared" si="10"/>
        <v>2166.6666666666301</v>
      </c>
      <c r="H155" s="23">
        <f t="shared" si="12"/>
        <v>5777.777777777741</v>
      </c>
      <c r="I155" s="22">
        <f t="shared" si="13"/>
        <v>104722.22222222039</v>
      </c>
    </row>
    <row r="156" spans="5:9" x14ac:dyDescent="0.25">
      <c r="E156" s="33">
        <v>152</v>
      </c>
      <c r="F156" s="30">
        <f t="shared" si="11"/>
        <v>3611.1111111111113</v>
      </c>
      <c r="G156" s="23">
        <f t="shared" si="10"/>
        <v>2094.444444444408</v>
      </c>
      <c r="H156" s="23">
        <f t="shared" si="12"/>
        <v>5705.5555555555193</v>
      </c>
      <c r="I156" s="22">
        <f t="shared" si="13"/>
        <v>101111.11111110928</v>
      </c>
    </row>
    <row r="157" spans="5:9" x14ac:dyDescent="0.25">
      <c r="E157" s="33">
        <v>153</v>
      </c>
      <c r="F157" s="30">
        <f t="shared" si="11"/>
        <v>3611.1111111111113</v>
      </c>
      <c r="G157" s="23">
        <f t="shared" si="10"/>
        <v>2022.2222222221856</v>
      </c>
      <c r="H157" s="23">
        <f t="shared" si="12"/>
        <v>5633.3333333332967</v>
      </c>
      <c r="I157" s="22">
        <f t="shared" si="13"/>
        <v>97499.999999998166</v>
      </c>
    </row>
    <row r="158" spans="5:9" x14ac:dyDescent="0.25">
      <c r="E158" s="33">
        <v>154</v>
      </c>
      <c r="F158" s="30">
        <f t="shared" si="11"/>
        <v>3611.1111111111113</v>
      </c>
      <c r="G158" s="23">
        <f t="shared" si="10"/>
        <v>1949.9999999999634</v>
      </c>
      <c r="H158" s="23">
        <f t="shared" si="12"/>
        <v>5561.1111111110749</v>
      </c>
      <c r="I158" s="22">
        <f t="shared" si="13"/>
        <v>93888.888888887057</v>
      </c>
    </row>
    <row r="159" spans="5:9" x14ac:dyDescent="0.25">
      <c r="E159" s="33">
        <v>155</v>
      </c>
      <c r="F159" s="30">
        <f t="shared" si="11"/>
        <v>3611.1111111111113</v>
      </c>
      <c r="G159" s="23">
        <f t="shared" si="10"/>
        <v>1877.7777777777412</v>
      </c>
      <c r="H159" s="23">
        <f t="shared" si="12"/>
        <v>5488.8888888888523</v>
      </c>
      <c r="I159" s="22">
        <f t="shared" si="13"/>
        <v>90277.777777775947</v>
      </c>
    </row>
    <row r="160" spans="5:9" x14ac:dyDescent="0.25">
      <c r="E160" s="33">
        <v>156</v>
      </c>
      <c r="F160" s="30">
        <f t="shared" si="11"/>
        <v>3611.1111111111113</v>
      </c>
      <c r="G160" s="23">
        <f t="shared" si="10"/>
        <v>1805.555555555519</v>
      </c>
      <c r="H160" s="23">
        <f t="shared" si="12"/>
        <v>5416.6666666666306</v>
      </c>
      <c r="I160" s="22">
        <f t="shared" si="13"/>
        <v>86666.666666664838</v>
      </c>
    </row>
    <row r="161" spans="5:9" x14ac:dyDescent="0.25">
      <c r="E161" s="33">
        <v>157</v>
      </c>
      <c r="F161" s="30">
        <f t="shared" si="11"/>
        <v>3611.1111111111113</v>
      </c>
      <c r="G161" s="23">
        <f t="shared" si="10"/>
        <v>1733.3333333332969</v>
      </c>
      <c r="H161" s="23">
        <f t="shared" si="12"/>
        <v>5344.444444444408</v>
      </c>
      <c r="I161" s="22">
        <f t="shared" si="13"/>
        <v>83055.555555553728</v>
      </c>
    </row>
    <row r="162" spans="5:9" x14ac:dyDescent="0.25">
      <c r="E162" s="33">
        <v>158</v>
      </c>
      <c r="F162" s="30">
        <f t="shared" si="11"/>
        <v>3611.1111111111113</v>
      </c>
      <c r="G162" s="23">
        <f t="shared" si="10"/>
        <v>1661.1111111110747</v>
      </c>
      <c r="H162" s="23">
        <f t="shared" si="12"/>
        <v>5272.2222222221862</v>
      </c>
      <c r="I162" s="22">
        <f t="shared" si="13"/>
        <v>79444.444444442619</v>
      </c>
    </row>
    <row r="163" spans="5:9" x14ac:dyDescent="0.25">
      <c r="E163" s="33">
        <v>159</v>
      </c>
      <c r="F163" s="30">
        <f t="shared" si="11"/>
        <v>3611.1111111111113</v>
      </c>
      <c r="G163" s="23">
        <f t="shared" si="10"/>
        <v>1588.8888888888523</v>
      </c>
      <c r="H163" s="23">
        <f t="shared" si="12"/>
        <v>5199.9999999999636</v>
      </c>
      <c r="I163" s="22">
        <f t="shared" si="13"/>
        <v>75833.333333331509</v>
      </c>
    </row>
    <row r="164" spans="5:9" x14ac:dyDescent="0.25">
      <c r="E164" s="33">
        <v>160</v>
      </c>
      <c r="F164" s="30">
        <f t="shared" si="11"/>
        <v>3611.1111111111113</v>
      </c>
      <c r="G164" s="23">
        <f t="shared" si="10"/>
        <v>1516.6666666666301</v>
      </c>
      <c r="H164" s="23">
        <f t="shared" si="12"/>
        <v>5127.777777777741</v>
      </c>
      <c r="I164" s="22">
        <f t="shared" si="13"/>
        <v>72222.2222222204</v>
      </c>
    </row>
    <row r="165" spans="5:9" x14ac:dyDescent="0.25">
      <c r="E165" s="33">
        <v>161</v>
      </c>
      <c r="F165" s="30">
        <f t="shared" si="11"/>
        <v>3611.1111111111113</v>
      </c>
      <c r="G165" s="23">
        <f t="shared" ref="G165:G184" si="14">I164*$C$3</f>
        <v>1444.444444444408</v>
      </c>
      <c r="H165" s="23">
        <f t="shared" si="12"/>
        <v>5055.5555555555193</v>
      </c>
      <c r="I165" s="22">
        <f t="shared" si="13"/>
        <v>68611.111111109291</v>
      </c>
    </row>
    <row r="166" spans="5:9" x14ac:dyDescent="0.25">
      <c r="E166" s="33">
        <v>162</v>
      </c>
      <c r="F166" s="30">
        <f t="shared" si="11"/>
        <v>3611.1111111111113</v>
      </c>
      <c r="G166" s="23">
        <f t="shared" si="14"/>
        <v>1372.2222222221858</v>
      </c>
      <c r="H166" s="23">
        <f t="shared" si="12"/>
        <v>4983.3333333332976</v>
      </c>
      <c r="I166" s="22">
        <f t="shared" si="13"/>
        <v>64999.999999998181</v>
      </c>
    </row>
    <row r="167" spans="5:9" x14ac:dyDescent="0.25">
      <c r="E167" s="33">
        <v>163</v>
      </c>
      <c r="F167" s="30">
        <f t="shared" si="11"/>
        <v>3611.1111111111113</v>
      </c>
      <c r="G167" s="23">
        <f t="shared" si="14"/>
        <v>1299.9999999999636</v>
      </c>
      <c r="H167" s="23">
        <f t="shared" si="12"/>
        <v>4911.1111111110749</v>
      </c>
      <c r="I167" s="22">
        <f t="shared" si="13"/>
        <v>61388.888888887072</v>
      </c>
    </row>
    <row r="168" spans="5:9" x14ac:dyDescent="0.25">
      <c r="E168" s="33">
        <v>164</v>
      </c>
      <c r="F168" s="30">
        <f t="shared" si="11"/>
        <v>3611.1111111111113</v>
      </c>
      <c r="G168" s="23">
        <f t="shared" si="14"/>
        <v>1227.7777777777414</v>
      </c>
      <c r="H168" s="23">
        <f t="shared" si="12"/>
        <v>4838.8888888888523</v>
      </c>
      <c r="I168" s="22">
        <f t="shared" si="13"/>
        <v>57777.777777775962</v>
      </c>
    </row>
    <row r="169" spans="5:9" x14ac:dyDescent="0.25">
      <c r="E169" s="33">
        <v>165</v>
      </c>
      <c r="F169" s="30">
        <f t="shared" si="11"/>
        <v>3611.1111111111113</v>
      </c>
      <c r="G169" s="23">
        <f t="shared" si="14"/>
        <v>1155.5555555555193</v>
      </c>
      <c r="H169" s="23">
        <f t="shared" si="12"/>
        <v>4766.6666666666306</v>
      </c>
      <c r="I169" s="22">
        <f t="shared" si="13"/>
        <v>54166.666666664853</v>
      </c>
    </row>
    <row r="170" spans="5:9" x14ac:dyDescent="0.25">
      <c r="E170" s="33">
        <v>166</v>
      </c>
      <c r="F170" s="30">
        <f t="shared" si="11"/>
        <v>3611.1111111111113</v>
      </c>
      <c r="G170" s="23">
        <f t="shared" si="14"/>
        <v>1083.3333333332971</v>
      </c>
      <c r="H170" s="23">
        <f t="shared" si="12"/>
        <v>4694.4444444444089</v>
      </c>
      <c r="I170" s="22">
        <f t="shared" si="13"/>
        <v>50555.555555553743</v>
      </c>
    </row>
    <row r="171" spans="5:9" x14ac:dyDescent="0.25">
      <c r="E171" s="33">
        <v>167</v>
      </c>
      <c r="F171" s="30">
        <f t="shared" si="11"/>
        <v>3611.1111111111113</v>
      </c>
      <c r="G171" s="23">
        <f t="shared" si="14"/>
        <v>1011.1111111110749</v>
      </c>
      <c r="H171" s="23">
        <f t="shared" si="12"/>
        <v>4622.2222222221862</v>
      </c>
      <c r="I171" s="22">
        <f t="shared" si="13"/>
        <v>46944.444444442634</v>
      </c>
    </row>
    <row r="172" spans="5:9" x14ac:dyDescent="0.25">
      <c r="E172" s="33">
        <v>168</v>
      </c>
      <c r="F172" s="30">
        <f t="shared" si="11"/>
        <v>3611.1111111111113</v>
      </c>
      <c r="G172" s="23">
        <f t="shared" si="14"/>
        <v>938.88888888885265</v>
      </c>
      <c r="H172" s="23">
        <f t="shared" si="12"/>
        <v>4549.9999999999636</v>
      </c>
      <c r="I172" s="22">
        <f t="shared" si="13"/>
        <v>43333.333333331524</v>
      </c>
    </row>
    <row r="173" spans="5:9" x14ac:dyDescent="0.25">
      <c r="E173" s="33">
        <v>169</v>
      </c>
      <c r="F173" s="30">
        <f t="shared" si="11"/>
        <v>3611.1111111111113</v>
      </c>
      <c r="G173" s="23">
        <f t="shared" si="14"/>
        <v>866.66666666663048</v>
      </c>
      <c r="H173" s="23">
        <f t="shared" si="12"/>
        <v>4477.7777777777419</v>
      </c>
      <c r="I173" s="22">
        <f t="shared" si="13"/>
        <v>39722.222222220415</v>
      </c>
    </row>
    <row r="174" spans="5:9" x14ac:dyDescent="0.25">
      <c r="E174" s="33">
        <v>170</v>
      </c>
      <c r="F174" s="30">
        <f t="shared" si="11"/>
        <v>3611.1111111111113</v>
      </c>
      <c r="G174" s="23">
        <f t="shared" si="14"/>
        <v>794.4444444444083</v>
      </c>
      <c r="H174" s="23">
        <f t="shared" si="12"/>
        <v>4405.5555555555193</v>
      </c>
      <c r="I174" s="22">
        <f t="shared" si="13"/>
        <v>36111.111111109305</v>
      </c>
    </row>
    <row r="175" spans="5:9" x14ac:dyDescent="0.25">
      <c r="E175" s="33">
        <v>171</v>
      </c>
      <c r="F175" s="30">
        <f t="shared" si="11"/>
        <v>3611.1111111111113</v>
      </c>
      <c r="G175" s="23">
        <f t="shared" si="14"/>
        <v>722.22222222218613</v>
      </c>
      <c r="H175" s="23">
        <f t="shared" si="12"/>
        <v>4333.3333333332976</v>
      </c>
      <c r="I175" s="22">
        <f t="shared" si="13"/>
        <v>32499.999999998196</v>
      </c>
    </row>
    <row r="176" spans="5:9" x14ac:dyDescent="0.25">
      <c r="E176" s="33">
        <v>172</v>
      </c>
      <c r="F176" s="30">
        <f t="shared" si="11"/>
        <v>3611.1111111111113</v>
      </c>
      <c r="G176" s="23">
        <f t="shared" si="14"/>
        <v>649.99999999996396</v>
      </c>
      <c r="H176" s="23">
        <f t="shared" si="12"/>
        <v>4261.1111111110749</v>
      </c>
      <c r="I176" s="22">
        <f t="shared" si="13"/>
        <v>28888.888888887086</v>
      </c>
    </row>
    <row r="177" spans="5:9" x14ac:dyDescent="0.25">
      <c r="E177" s="33">
        <v>173</v>
      </c>
      <c r="F177" s="30">
        <f t="shared" si="11"/>
        <v>3611.1111111111113</v>
      </c>
      <c r="G177" s="23">
        <f t="shared" si="14"/>
        <v>577.77777777774179</v>
      </c>
      <c r="H177" s="23">
        <f t="shared" si="12"/>
        <v>4188.8888888888532</v>
      </c>
      <c r="I177" s="22">
        <f t="shared" si="13"/>
        <v>25277.777777775977</v>
      </c>
    </row>
    <row r="178" spans="5:9" x14ac:dyDescent="0.25">
      <c r="E178" s="33">
        <v>174</v>
      </c>
      <c r="F178" s="30">
        <f t="shared" si="11"/>
        <v>3611.1111111111113</v>
      </c>
      <c r="G178" s="23">
        <f t="shared" si="14"/>
        <v>505.55555555551956</v>
      </c>
      <c r="H178" s="23">
        <f t="shared" si="12"/>
        <v>4116.6666666666306</v>
      </c>
      <c r="I178" s="22">
        <f t="shared" si="13"/>
        <v>21666.666666664867</v>
      </c>
    </row>
    <row r="179" spans="5:9" x14ac:dyDescent="0.25">
      <c r="E179" s="33">
        <v>175</v>
      </c>
      <c r="F179" s="30">
        <f t="shared" si="11"/>
        <v>3611.1111111111113</v>
      </c>
      <c r="G179" s="23">
        <f t="shared" si="14"/>
        <v>433.33333333329733</v>
      </c>
      <c r="H179" s="23">
        <f t="shared" si="12"/>
        <v>4044.4444444444089</v>
      </c>
      <c r="I179" s="22">
        <f t="shared" si="13"/>
        <v>18055.555555553758</v>
      </c>
    </row>
    <row r="180" spans="5:9" x14ac:dyDescent="0.25">
      <c r="E180" s="33">
        <v>176</v>
      </c>
      <c r="F180" s="30">
        <f t="shared" si="11"/>
        <v>3611.1111111111113</v>
      </c>
      <c r="G180" s="23">
        <f t="shared" si="14"/>
        <v>361.11111111107516</v>
      </c>
      <c r="H180" s="23">
        <f t="shared" si="12"/>
        <v>3972.2222222221862</v>
      </c>
      <c r="I180" s="22">
        <f t="shared" si="13"/>
        <v>14444.444444442646</v>
      </c>
    </row>
    <row r="181" spans="5:9" x14ac:dyDescent="0.25">
      <c r="E181" s="33">
        <v>177</v>
      </c>
      <c r="F181" s="30">
        <f t="shared" si="11"/>
        <v>3611.1111111111113</v>
      </c>
      <c r="G181" s="23">
        <f t="shared" si="14"/>
        <v>288.88888888885293</v>
      </c>
      <c r="H181" s="23">
        <f t="shared" si="12"/>
        <v>3899.9999999999641</v>
      </c>
      <c r="I181" s="22">
        <f t="shared" si="13"/>
        <v>10833.333333331535</v>
      </c>
    </row>
    <row r="182" spans="5:9" x14ac:dyDescent="0.25">
      <c r="E182" s="33">
        <v>178</v>
      </c>
      <c r="F182" s="30">
        <f t="shared" si="11"/>
        <v>3611.1111111111113</v>
      </c>
      <c r="G182" s="23">
        <f t="shared" si="14"/>
        <v>216.6666666666307</v>
      </c>
      <c r="H182" s="23">
        <f t="shared" si="12"/>
        <v>3827.7777777777419</v>
      </c>
      <c r="I182" s="22">
        <f t="shared" si="13"/>
        <v>7222.2222222204236</v>
      </c>
    </row>
    <row r="183" spans="5:9" x14ac:dyDescent="0.25">
      <c r="E183" s="33">
        <v>179</v>
      </c>
      <c r="F183" s="30">
        <f t="shared" si="11"/>
        <v>3611.1111111111113</v>
      </c>
      <c r="G183" s="23">
        <f t="shared" si="14"/>
        <v>144.44444444440848</v>
      </c>
      <c r="H183" s="23">
        <f t="shared" si="12"/>
        <v>3755.5555555555197</v>
      </c>
      <c r="I183" s="22">
        <f t="shared" si="13"/>
        <v>3611.1111111093123</v>
      </c>
    </row>
    <row r="184" spans="5:9" ht="15.75" thickBot="1" x14ac:dyDescent="0.3">
      <c r="E184" s="34">
        <v>180</v>
      </c>
      <c r="F184" s="31">
        <f t="shared" si="11"/>
        <v>3611.1111111111113</v>
      </c>
      <c r="G184" s="24">
        <f t="shared" si="14"/>
        <v>72.222222222186247</v>
      </c>
      <c r="H184" s="24">
        <f t="shared" si="12"/>
        <v>3683.3333333332976</v>
      </c>
      <c r="I184" s="10">
        <f t="shared" si="13"/>
        <v>-1.7989805201068521E-9</v>
      </c>
    </row>
  </sheetData>
  <mergeCells count="1">
    <mergeCell ref="E2:I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4836B-7BFA-4CC7-BE46-74299B80C435}">
  <sheetPr codeName="Planilha3"/>
  <dimension ref="B1:C202"/>
  <sheetViews>
    <sheetView showGridLines="0" workbookViewId="0">
      <selection activeCell="O7" sqref="O7"/>
    </sheetView>
  </sheetViews>
  <sheetFormatPr defaultRowHeight="15" x14ac:dyDescent="0.25"/>
  <sheetData>
    <row r="1" spans="2:3" ht="15.75" thickBot="1" x14ac:dyDescent="0.3"/>
    <row r="2" spans="2:3" ht="15.75" thickBot="1" x14ac:dyDescent="0.3">
      <c r="B2" s="2" t="s">
        <v>11</v>
      </c>
      <c r="C2" s="2" t="s">
        <v>10</v>
      </c>
    </row>
    <row r="3" spans="2:3" x14ac:dyDescent="0.25">
      <c r="B3" s="47">
        <v>2.5000000000000001E-2</v>
      </c>
      <c r="C3" s="42">
        <f>11*COS((2*3.14*2.2)*B3)</f>
        <v>10.350341085185047</v>
      </c>
    </row>
    <row r="4" spans="2:3" x14ac:dyDescent="0.25">
      <c r="B4" s="44">
        <v>0.05</v>
      </c>
      <c r="C4" s="37">
        <f t="shared" ref="C4:C67" si="0">11*COS((2*3.14*2.2)*B4)</f>
        <v>8.4781019235762862</v>
      </c>
    </row>
    <row r="5" spans="2:3" x14ac:dyDescent="0.25">
      <c r="B5" s="44">
        <v>7.4999999999999997E-2</v>
      </c>
      <c r="C5" s="37">
        <f t="shared" si="0"/>
        <v>5.6044310355382292</v>
      </c>
    </row>
    <row r="6" spans="2:3" x14ac:dyDescent="0.25">
      <c r="B6" s="44">
        <v>0.1</v>
      </c>
      <c r="C6" s="37">
        <f t="shared" si="0"/>
        <v>2.0687658593723497</v>
      </c>
    </row>
    <row r="7" spans="2:3" x14ac:dyDescent="0.25">
      <c r="B7" s="44">
        <v>0.125</v>
      </c>
      <c r="C7" s="37">
        <f t="shared" si="0"/>
        <v>-1.711261531921902</v>
      </c>
    </row>
    <row r="8" spans="2:3" x14ac:dyDescent="0.25">
      <c r="B8" s="44">
        <v>0.15</v>
      </c>
      <c r="C8" s="37">
        <f t="shared" si="0"/>
        <v>-5.2891550487083459</v>
      </c>
    </row>
    <row r="9" spans="2:3" x14ac:dyDescent="0.25">
      <c r="B9" s="44">
        <v>0.17499999999999999</v>
      </c>
      <c r="C9" s="37">
        <f t="shared" si="0"/>
        <v>-8.2422946147253509</v>
      </c>
    </row>
    <row r="10" spans="2:3" x14ac:dyDescent="0.25">
      <c r="B10" s="44">
        <v>0.2</v>
      </c>
      <c r="C10" s="37">
        <f t="shared" si="0"/>
        <v>-10.221855967108251</v>
      </c>
    </row>
    <row r="11" spans="2:3" x14ac:dyDescent="0.25">
      <c r="B11" s="44">
        <v>0.22500000000000001</v>
      </c>
      <c r="C11" s="37">
        <f t="shared" si="0"/>
        <v>-10.99401370949364</v>
      </c>
    </row>
    <row r="12" spans="2:3" x14ac:dyDescent="0.25">
      <c r="B12" s="44">
        <v>0.25</v>
      </c>
      <c r="C12" s="37">
        <f t="shared" si="0"/>
        <v>-10.467560721702601</v>
      </c>
    </row>
    <row r="13" spans="2:3" x14ac:dyDescent="0.25">
      <c r="B13" s="44">
        <v>0.27500000000000002</v>
      </c>
      <c r="C13" s="37">
        <f t="shared" si="0"/>
        <v>-8.7046815267804813</v>
      </c>
    </row>
    <row r="14" spans="2:3" x14ac:dyDescent="0.25">
      <c r="B14" s="44">
        <v>0.3</v>
      </c>
      <c r="C14" s="37">
        <f t="shared" si="0"/>
        <v>-5.9136070674041852</v>
      </c>
    </row>
    <row r="15" spans="2:3" x14ac:dyDescent="0.25">
      <c r="B15" s="44">
        <v>0.32500000000000001</v>
      </c>
      <c r="C15" s="37">
        <f t="shared" si="0"/>
        <v>-2.4240185080184675</v>
      </c>
    </row>
    <row r="16" spans="2:3" x14ac:dyDescent="0.25">
      <c r="B16" s="44">
        <v>0.35</v>
      </c>
      <c r="C16" s="37">
        <f t="shared" si="0"/>
        <v>1.3518946392600935</v>
      </c>
    </row>
    <row r="17" spans="2:3" x14ac:dyDescent="0.25">
      <c r="B17" s="44">
        <v>0.375</v>
      </c>
      <c r="C17" s="37">
        <f t="shared" si="0"/>
        <v>4.9681222584866873</v>
      </c>
    </row>
    <row r="18" spans="2:3" x14ac:dyDescent="0.25">
      <c r="B18" s="44">
        <v>0.4</v>
      </c>
      <c r="C18" s="37">
        <f t="shared" si="0"/>
        <v>7.9975162567830127</v>
      </c>
    </row>
    <row r="19" spans="2:3" x14ac:dyDescent="0.25">
      <c r="B19" s="44">
        <v>0.42499999999999999</v>
      </c>
      <c r="C19" s="37">
        <f t="shared" si="0"/>
        <v>10.08224521278904</v>
      </c>
    </row>
    <row r="20" spans="2:3" x14ac:dyDescent="0.25">
      <c r="B20" s="44">
        <v>0.45</v>
      </c>
      <c r="C20" s="37">
        <f t="shared" si="0"/>
        <v>10.976061353551655</v>
      </c>
    </row>
    <row r="21" spans="2:3" x14ac:dyDescent="0.25">
      <c r="B21" s="44">
        <v>0.47499999999999998</v>
      </c>
      <c r="C21" s="37">
        <f t="shared" si="0"/>
        <v>10.573387292879596</v>
      </c>
    </row>
    <row r="22" spans="2:3" x14ac:dyDescent="0.25">
      <c r="B22" s="44">
        <v>0.5</v>
      </c>
      <c r="C22" s="37">
        <f t="shared" si="0"/>
        <v>8.9217868113692873</v>
      </c>
    </row>
    <row r="23" spans="2:3" x14ac:dyDescent="0.25">
      <c r="B23" s="44">
        <v>0.52500000000000002</v>
      </c>
      <c r="C23" s="37">
        <f t="shared" si="0"/>
        <v>6.2163466320254219</v>
      </c>
    </row>
    <row r="24" spans="2:3" x14ac:dyDescent="0.25">
      <c r="B24" s="44">
        <v>0.55000000000000004</v>
      </c>
      <c r="C24" s="37">
        <f t="shared" si="0"/>
        <v>2.7766328150315247</v>
      </c>
    </row>
    <row r="25" spans="2:3" x14ac:dyDescent="0.25">
      <c r="B25" s="44">
        <v>0.57499999999999996</v>
      </c>
      <c r="C25" s="37">
        <f t="shared" si="0"/>
        <v>-0.99105632222654871</v>
      </c>
    </row>
    <row r="26" spans="2:3" x14ac:dyDescent="0.25">
      <c r="B26" s="44">
        <v>0.6</v>
      </c>
      <c r="C26" s="37">
        <f t="shared" si="0"/>
        <v>-4.6416820822449587</v>
      </c>
    </row>
    <row r="27" spans="2:3" x14ac:dyDescent="0.25">
      <c r="B27" s="44">
        <v>0.625</v>
      </c>
      <c r="C27" s="37">
        <f t="shared" si="0"/>
        <v>-7.7440332705420385</v>
      </c>
    </row>
    <row r="28" spans="2:3" x14ac:dyDescent="0.25">
      <c r="B28" s="44">
        <v>0.65</v>
      </c>
      <c r="C28" s="37">
        <f t="shared" si="0"/>
        <v>-9.9316607768698049</v>
      </c>
    </row>
    <row r="29" spans="2:3" x14ac:dyDescent="0.25">
      <c r="B29" s="44">
        <v>0.67500000000000004</v>
      </c>
      <c r="C29" s="37">
        <f t="shared" si="0"/>
        <v>-10.946162471813672</v>
      </c>
    </row>
    <row r="30" spans="2:3" x14ac:dyDescent="0.25">
      <c r="B30" s="44">
        <v>0.7</v>
      </c>
      <c r="C30" s="37">
        <f t="shared" si="0"/>
        <v>-10.667705615334512</v>
      </c>
    </row>
    <row r="31" spans="2:3" x14ac:dyDescent="0.25">
      <c r="B31" s="44">
        <v>0.72499999999999998</v>
      </c>
      <c r="C31" s="37">
        <f t="shared" si="0"/>
        <v>-9.1291814763783297</v>
      </c>
    </row>
    <row r="32" spans="2:3" x14ac:dyDescent="0.25">
      <c r="B32" s="44">
        <v>0.75</v>
      </c>
      <c r="C32" s="37">
        <f t="shared" si="0"/>
        <v>-6.5123202226780244</v>
      </c>
    </row>
    <row r="33" spans="2:3" x14ac:dyDescent="0.25">
      <c r="B33" s="44">
        <v>0.77500000000000002</v>
      </c>
      <c r="C33" s="37">
        <f t="shared" si="0"/>
        <v>-3.1262249891972691</v>
      </c>
    </row>
    <row r="34" spans="2:3" x14ac:dyDescent="0.25">
      <c r="B34" s="44">
        <v>0.8</v>
      </c>
      <c r="C34" s="37">
        <f t="shared" si="0"/>
        <v>0.62913932318337507</v>
      </c>
    </row>
    <row r="35" spans="2:3" x14ac:dyDescent="0.25">
      <c r="B35" s="44">
        <v>0.82499999999999996</v>
      </c>
      <c r="C35" s="37">
        <f t="shared" si="0"/>
        <v>4.3101898228427595</v>
      </c>
    </row>
    <row r="36" spans="2:3" x14ac:dyDescent="0.25">
      <c r="B36" s="44">
        <v>0.85</v>
      </c>
      <c r="C36" s="37">
        <f t="shared" si="0"/>
        <v>7.4821215510559096</v>
      </c>
    </row>
    <row r="37" spans="2:3" x14ac:dyDescent="0.25">
      <c r="B37" s="44">
        <v>0.875</v>
      </c>
      <c r="C37" s="37">
        <f t="shared" si="0"/>
        <v>9.7702665579285792</v>
      </c>
    </row>
    <row r="38" spans="2:3" x14ac:dyDescent="0.25">
      <c r="B38" s="44">
        <v>0.9</v>
      </c>
      <c r="C38" s="37">
        <f t="shared" si="0"/>
        <v>10.904349606714577</v>
      </c>
    </row>
    <row r="39" spans="2:3" x14ac:dyDescent="0.25">
      <c r="B39" s="44">
        <v>0.92500000000000004</v>
      </c>
      <c r="C39" s="37">
        <f t="shared" si="0"/>
        <v>10.750413031453109</v>
      </c>
    </row>
    <row r="40" spans="2:3" x14ac:dyDescent="0.25">
      <c r="B40" s="44">
        <v>0.95</v>
      </c>
      <c r="C40" s="37">
        <f t="shared" si="0"/>
        <v>9.3266397900414049</v>
      </c>
    </row>
    <row r="41" spans="2:3" x14ac:dyDescent="0.25">
      <c r="B41" s="44">
        <v>0.97499999999999998</v>
      </c>
      <c r="C41" s="37">
        <f t="shared" si="0"/>
        <v>6.8012056968354546</v>
      </c>
    </row>
    <row r="42" spans="2:3" x14ac:dyDescent="0.25">
      <c r="B42" s="44">
        <v>1</v>
      </c>
      <c r="C42" s="37">
        <f t="shared" si="0"/>
        <v>3.472414528640535</v>
      </c>
    </row>
    <row r="43" spans="2:3" x14ac:dyDescent="0.25">
      <c r="B43" s="44">
        <v>1.0249999999999999</v>
      </c>
      <c r="C43" s="37">
        <f t="shared" si="0"/>
        <v>-0.26653755854789024</v>
      </c>
    </row>
    <row r="44" spans="2:3" x14ac:dyDescent="0.25">
      <c r="B44" s="44">
        <v>1.05</v>
      </c>
      <c r="C44" s="37">
        <f t="shared" si="0"/>
        <v>-3.9740062819102158</v>
      </c>
    </row>
    <row r="45" spans="2:3" x14ac:dyDescent="0.25">
      <c r="B45" s="44">
        <v>1.075</v>
      </c>
      <c r="C45" s="37">
        <f t="shared" si="0"/>
        <v>-7.2120661673500361</v>
      </c>
    </row>
    <row r="46" spans="2:3" x14ac:dyDescent="0.25">
      <c r="B46" s="44">
        <v>1.1000000000000001</v>
      </c>
      <c r="C46" s="37">
        <f t="shared" si="0"/>
        <v>-9.5982382200891116</v>
      </c>
    </row>
    <row r="47" spans="2:3" x14ac:dyDescent="0.25">
      <c r="B47" s="44">
        <v>1.125</v>
      </c>
      <c r="C47" s="37">
        <f t="shared" si="0"/>
        <v>-10.85066826806481</v>
      </c>
    </row>
    <row r="48" spans="2:3" x14ac:dyDescent="0.25">
      <c r="B48" s="44">
        <v>1.1499999999999999</v>
      </c>
      <c r="C48" s="37">
        <f t="shared" si="0"/>
        <v>-10.821419521122689</v>
      </c>
    </row>
    <row r="49" spans="2:3" x14ac:dyDescent="0.25">
      <c r="B49" s="44">
        <v>1.175</v>
      </c>
      <c r="C49" s="37">
        <f t="shared" si="0"/>
        <v>-9.513946835480585</v>
      </c>
    </row>
    <row r="50" spans="2:3" x14ac:dyDescent="0.25">
      <c r="B50" s="44">
        <v>1.2</v>
      </c>
      <c r="C50" s="37">
        <f t="shared" si="0"/>
        <v>-7.0826886267938374</v>
      </c>
    </row>
    <row r="51" spans="2:3" x14ac:dyDescent="0.25">
      <c r="B51" s="44">
        <v>1.2250000000000001</v>
      </c>
      <c r="C51" s="37">
        <f t="shared" si="0"/>
        <v>-3.814824634969793</v>
      </c>
    </row>
    <row r="52" spans="2:3" x14ac:dyDescent="0.25">
      <c r="B52" s="44">
        <v>1.25</v>
      </c>
      <c r="C52" s="37">
        <f t="shared" si="0"/>
        <v>-9.6354309952361217E-2</v>
      </c>
    </row>
    <row r="53" spans="2:3" x14ac:dyDescent="0.25">
      <c r="B53" s="44">
        <v>1.2749999999999999</v>
      </c>
      <c r="C53" s="37">
        <f t="shared" si="0"/>
        <v>3.6334973671453237</v>
      </c>
    </row>
    <row r="54" spans="2:3" x14ac:dyDescent="0.25">
      <c r="B54" s="44">
        <v>1.3</v>
      </c>
      <c r="C54" s="37">
        <f t="shared" si="0"/>
        <v>6.9341610521480224</v>
      </c>
    </row>
    <row r="55" spans="2:3" x14ac:dyDescent="0.25">
      <c r="B55" s="44">
        <v>1.325</v>
      </c>
      <c r="C55" s="37">
        <f t="shared" si="0"/>
        <v>9.4157630018251517</v>
      </c>
    </row>
    <row r="56" spans="2:3" x14ac:dyDescent="0.25">
      <c r="B56" s="44">
        <v>1.35</v>
      </c>
      <c r="C56" s="37">
        <f t="shared" si="0"/>
        <v>10.785176883516723</v>
      </c>
    </row>
    <row r="57" spans="2:3" x14ac:dyDescent="0.25">
      <c r="B57" s="44">
        <v>1.375</v>
      </c>
      <c r="C57" s="37">
        <f t="shared" si="0"/>
        <v>10.88064779971142</v>
      </c>
    </row>
    <row r="58" spans="2:3" x14ac:dyDescent="0.25">
      <c r="B58" s="44">
        <v>1.4</v>
      </c>
      <c r="C58" s="37">
        <f t="shared" si="0"/>
        <v>9.6908987446253647</v>
      </c>
    </row>
    <row r="59" spans="2:3" x14ac:dyDescent="0.25">
      <c r="B59" s="44">
        <v>1.425</v>
      </c>
      <c r="C59" s="37">
        <f t="shared" si="0"/>
        <v>7.3564626419002188</v>
      </c>
    </row>
    <row r="60" spans="2:3" x14ac:dyDescent="0.25">
      <c r="B60" s="44">
        <v>1.45</v>
      </c>
      <c r="C60" s="37">
        <f t="shared" si="0"/>
        <v>4.1530826233907687</v>
      </c>
    </row>
    <row r="61" spans="2:3" x14ac:dyDescent="0.25">
      <c r="B61" s="44">
        <v>1.4750000000000001</v>
      </c>
      <c r="C61" s="37">
        <f t="shared" si="0"/>
        <v>0.45914130483606319</v>
      </c>
    </row>
    <row r="62" spans="2:3" x14ac:dyDescent="0.25">
      <c r="B62" s="44">
        <v>1.5</v>
      </c>
      <c r="C62" s="37">
        <f t="shared" si="0"/>
        <v>-3.2890336940543365</v>
      </c>
    </row>
    <row r="63" spans="2:3" x14ac:dyDescent="0.25">
      <c r="B63" s="44">
        <v>1.5249999999999999</v>
      </c>
      <c r="C63" s="37">
        <f t="shared" si="0"/>
        <v>-6.6487086819503487</v>
      </c>
    </row>
    <row r="64" spans="2:3" x14ac:dyDescent="0.25">
      <c r="B64" s="44">
        <v>1.55</v>
      </c>
      <c r="C64" s="37">
        <f t="shared" si="0"/>
        <v>-9.2230395121670057</v>
      </c>
    </row>
    <row r="65" spans="2:3" x14ac:dyDescent="0.25">
      <c r="B65" s="44">
        <v>1.575</v>
      </c>
      <c r="C65" s="37">
        <f t="shared" si="0"/>
        <v>-10.707946734970955</v>
      </c>
    </row>
    <row r="66" spans="2:3" x14ac:dyDescent="0.25">
      <c r="B66" s="44">
        <v>1.6</v>
      </c>
      <c r="C66" s="37">
        <f t="shared" si="0"/>
        <v>-10.928033402186248</v>
      </c>
    </row>
    <row r="67" spans="2:3" x14ac:dyDescent="0.25">
      <c r="B67" s="44">
        <v>1.625</v>
      </c>
      <c r="C67" s="37">
        <f t="shared" si="0"/>
        <v>-9.8573029201059352</v>
      </c>
    </row>
    <row r="68" spans="2:3" x14ac:dyDescent="0.25">
      <c r="B68" s="44">
        <v>1.65</v>
      </c>
      <c r="C68" s="37">
        <f t="shared" ref="C68:C131" si="1">11*COS((2*3.14*2.2)*B68)</f>
        <v>-7.6222297620114006</v>
      </c>
    </row>
    <row r="69" spans="2:3" x14ac:dyDescent="0.25">
      <c r="B69" s="44">
        <v>1.675</v>
      </c>
      <c r="C69" s="37">
        <f t="shared" si="1"/>
        <v>-4.4868203283425574</v>
      </c>
    </row>
    <row r="70" spans="2:3" x14ac:dyDescent="0.25">
      <c r="B70" s="44">
        <v>1.7</v>
      </c>
      <c r="C70" s="37">
        <f t="shared" si="1"/>
        <v>-0.82142856276812815</v>
      </c>
    </row>
    <row r="71" spans="2:3" x14ac:dyDescent="0.25">
      <c r="B71" s="44">
        <v>1.7250000000000001</v>
      </c>
      <c r="C71" s="37">
        <f t="shared" si="1"/>
        <v>2.9409901825673828</v>
      </c>
    </row>
    <row r="72" spans="2:3" x14ac:dyDescent="0.25">
      <c r="B72" s="44">
        <v>1.75</v>
      </c>
      <c r="C72" s="37">
        <f t="shared" si="1"/>
        <v>6.3560197478141029</v>
      </c>
    </row>
    <row r="73" spans="2:3" x14ac:dyDescent="0.25">
      <c r="B73" s="44">
        <v>1.7749999999999999</v>
      </c>
      <c r="C73" s="37">
        <f t="shared" si="1"/>
        <v>9.0202775145322285</v>
      </c>
    </row>
    <row r="74" spans="2:3" x14ac:dyDescent="0.25">
      <c r="B74" s="44">
        <v>1.8</v>
      </c>
      <c r="C74" s="37">
        <f t="shared" si="1"/>
        <v>10.619061880992064</v>
      </c>
    </row>
    <row r="75" spans="2:3" x14ac:dyDescent="0.25">
      <c r="B75" s="44">
        <v>1.825</v>
      </c>
      <c r="C75" s="37">
        <f t="shared" si="1"/>
        <v>10.963524753277682</v>
      </c>
    </row>
    <row r="76" spans="2:3" x14ac:dyDescent="0.25">
      <c r="B76" s="44">
        <v>1.85</v>
      </c>
      <c r="C76" s="37">
        <f t="shared" si="1"/>
        <v>10.012978244879424</v>
      </c>
    </row>
    <row r="77" spans="2:3" x14ac:dyDescent="0.25">
      <c r="B77" s="44">
        <v>1.875</v>
      </c>
      <c r="C77" s="37">
        <f t="shared" si="1"/>
        <v>7.8797007218204387</v>
      </c>
    </row>
    <row r="78" spans="2:3" x14ac:dyDescent="0.25">
      <c r="B78" s="44">
        <v>1.9</v>
      </c>
      <c r="C78" s="37">
        <f t="shared" si="1"/>
        <v>4.815674504215198</v>
      </c>
    </row>
    <row r="79" spans="2:3" x14ac:dyDescent="0.25">
      <c r="B79" s="44">
        <v>1.925</v>
      </c>
      <c r="C79" s="37">
        <f t="shared" si="1"/>
        <v>1.1828217643352927</v>
      </c>
    </row>
    <row r="80" spans="2:3" x14ac:dyDescent="0.25">
      <c r="B80" s="44">
        <v>1.95</v>
      </c>
      <c r="C80" s="37">
        <f t="shared" si="1"/>
        <v>-2.5897456489696276</v>
      </c>
    </row>
    <row r="81" spans="2:3" x14ac:dyDescent="0.25">
      <c r="B81" s="44">
        <v>1.9750000000000001</v>
      </c>
      <c r="C81" s="37">
        <f t="shared" si="1"/>
        <v>-6.0564128171915712</v>
      </c>
    </row>
    <row r="82" spans="2:3" x14ac:dyDescent="0.25">
      <c r="B82" s="44">
        <v>2</v>
      </c>
      <c r="C82" s="37">
        <f t="shared" si="1"/>
        <v>-8.8076976984156587</v>
      </c>
    </row>
    <row r="83" spans="2:3" x14ac:dyDescent="0.25">
      <c r="B83" s="44">
        <v>2.0249999999999999</v>
      </c>
      <c r="C83" s="37">
        <f t="shared" si="1"/>
        <v>-10.518619065317782</v>
      </c>
    </row>
    <row r="84" spans="2:3" x14ac:dyDescent="0.25">
      <c r="B84" s="44">
        <v>2.0499999999999998</v>
      </c>
      <c r="C84" s="37">
        <f t="shared" si="1"/>
        <v>-10.987083223615151</v>
      </c>
    </row>
    <row r="85" spans="2:3" x14ac:dyDescent="0.25">
      <c r="B85" s="44">
        <v>2.0750000000000002</v>
      </c>
      <c r="C85" s="37">
        <f t="shared" si="1"/>
        <v>-10.157755279360618</v>
      </c>
    </row>
    <row r="86" spans="2:3" x14ac:dyDescent="0.25">
      <c r="B86" s="44">
        <v>2.1</v>
      </c>
      <c r="C86" s="37">
        <f t="shared" si="1"/>
        <v>-8.1285952856978447</v>
      </c>
    </row>
    <row r="87" spans="2:3" x14ac:dyDescent="0.25">
      <c r="B87" s="44">
        <v>2.125</v>
      </c>
      <c r="C87" s="37">
        <f t="shared" si="1"/>
        <v>-5.139287220712113</v>
      </c>
    </row>
    <row r="88" spans="2:3" x14ac:dyDescent="0.25">
      <c r="B88" s="44">
        <v>2.15</v>
      </c>
      <c r="C88" s="37">
        <f t="shared" si="1"/>
        <v>-1.5429275632299924</v>
      </c>
    </row>
    <row r="89" spans="2:3" x14ac:dyDescent="0.25">
      <c r="B89" s="44">
        <v>2.1749999999999998</v>
      </c>
      <c r="C89" s="37">
        <f t="shared" si="1"/>
        <v>2.2356823935914512</v>
      </c>
    </row>
    <row r="90" spans="2:3" x14ac:dyDescent="0.25">
      <c r="B90" s="44">
        <v>2.2000000000000002</v>
      </c>
      <c r="C90" s="37">
        <f t="shared" si="1"/>
        <v>5.7502139871962532</v>
      </c>
    </row>
    <row r="91" spans="2:3" x14ac:dyDescent="0.25">
      <c r="B91" s="44">
        <v>2.2250000000000001</v>
      </c>
      <c r="C91" s="37">
        <f t="shared" si="1"/>
        <v>8.5855314391872888</v>
      </c>
    </row>
    <row r="92" spans="2:3" x14ac:dyDescent="0.25">
      <c r="B92" s="44">
        <v>2.25</v>
      </c>
      <c r="C92" s="37">
        <f t="shared" si="1"/>
        <v>10.406727611561562</v>
      </c>
    </row>
    <row r="93" spans="2:3" x14ac:dyDescent="0.25">
      <c r="B93" s="44">
        <v>2.2749999999999999</v>
      </c>
      <c r="C93" s="37">
        <f t="shared" si="1"/>
        <v>10.998683171771871</v>
      </c>
    </row>
    <row r="94" spans="2:3" x14ac:dyDescent="0.25">
      <c r="B94" s="44">
        <v>2.2999999999999998</v>
      </c>
      <c r="C94" s="37">
        <f t="shared" si="1"/>
        <v>10.291476445842763</v>
      </c>
    </row>
    <row r="95" spans="2:3" x14ac:dyDescent="0.25">
      <c r="B95" s="44">
        <v>2.3250000000000002</v>
      </c>
      <c r="C95" s="37">
        <f t="shared" si="1"/>
        <v>8.3686425527045802</v>
      </c>
    </row>
    <row r="96" spans="2:3" x14ac:dyDescent="0.25">
      <c r="B96" s="44">
        <v>2.35</v>
      </c>
      <c r="C96" s="37">
        <f t="shared" si="1"/>
        <v>5.4573062524274611</v>
      </c>
    </row>
    <row r="97" spans="2:3" x14ac:dyDescent="0.25">
      <c r="B97" s="44">
        <v>2.375</v>
      </c>
      <c r="C97" s="37">
        <f t="shared" si="1"/>
        <v>1.9013540143749164</v>
      </c>
    </row>
    <row r="98" spans="2:3" x14ac:dyDescent="0.25">
      <c r="B98" s="44">
        <v>2.4</v>
      </c>
      <c r="C98" s="37">
        <f t="shared" si="1"/>
        <v>-1.8791857847064051</v>
      </c>
    </row>
    <row r="99" spans="2:3" x14ac:dyDescent="0.25">
      <c r="B99" s="44">
        <v>2.4249999999999998</v>
      </c>
      <c r="C99" s="37">
        <f t="shared" si="1"/>
        <v>-5.4377565296734618</v>
      </c>
    </row>
    <row r="100" spans="2:3" x14ac:dyDescent="0.25">
      <c r="B100" s="44">
        <v>2.4500000000000002</v>
      </c>
      <c r="C100" s="37">
        <f t="shared" si="1"/>
        <v>-8.3540205462595605</v>
      </c>
    </row>
    <row r="101" spans="2:3" x14ac:dyDescent="0.25">
      <c r="B101" s="44">
        <v>2.4750000000000001</v>
      </c>
      <c r="C101" s="37">
        <f t="shared" si="1"/>
        <v>-10.283509304222912</v>
      </c>
    </row>
    <row r="102" spans="2:3" x14ac:dyDescent="0.25">
      <c r="B102" s="44">
        <v>2.5</v>
      </c>
      <c r="C102" s="37">
        <f t="shared" si="1"/>
        <v>-10.998311972173383</v>
      </c>
    </row>
    <row r="103" spans="2:3" x14ac:dyDescent="0.25">
      <c r="B103" s="44">
        <v>2.5249999999999999</v>
      </c>
      <c r="C103" s="37">
        <f t="shared" si="1"/>
        <v>-10.413996200007784</v>
      </c>
    </row>
    <row r="104" spans="2:3" x14ac:dyDescent="0.25">
      <c r="B104" s="44">
        <v>2.5499999999999998</v>
      </c>
      <c r="C104" s="37">
        <f t="shared" si="1"/>
        <v>-8.5995812514450911</v>
      </c>
    </row>
    <row r="105" spans="2:3" x14ac:dyDescent="0.25">
      <c r="B105" s="44">
        <v>2.5750000000000002</v>
      </c>
      <c r="C105" s="37">
        <f t="shared" si="1"/>
        <v>-5.7693854622138288</v>
      </c>
    </row>
    <row r="106" spans="2:3" x14ac:dyDescent="0.25">
      <c r="B106" s="44">
        <v>2.6</v>
      </c>
      <c r="C106" s="37">
        <f t="shared" si="1"/>
        <v>-2.2577110005224412</v>
      </c>
    </row>
    <row r="107" spans="2:3" x14ac:dyDescent="0.25">
      <c r="B107" s="44">
        <v>2.625</v>
      </c>
      <c r="C107" s="37">
        <f t="shared" si="1"/>
        <v>1.5206438390899641</v>
      </c>
    </row>
    <row r="108" spans="2:3" x14ac:dyDescent="0.25">
      <c r="B108" s="44">
        <v>2.65</v>
      </c>
      <c r="C108" s="37">
        <f t="shared" si="1"/>
        <v>5.1193805284617078</v>
      </c>
    </row>
    <row r="109" spans="2:3" x14ac:dyDescent="0.25">
      <c r="B109" s="44">
        <v>2.6749999999999998</v>
      </c>
      <c r="C109" s="37">
        <f t="shared" si="1"/>
        <v>8.1134169998979608</v>
      </c>
    </row>
    <row r="110" spans="2:3" x14ac:dyDescent="0.25">
      <c r="B110" s="44">
        <v>2.7</v>
      </c>
      <c r="C110" s="37">
        <f t="shared" si="1"/>
        <v>10.149098256135185</v>
      </c>
    </row>
    <row r="111" spans="2:3" x14ac:dyDescent="0.25">
      <c r="B111" s="44">
        <v>2.7250000000000001</v>
      </c>
      <c r="C111" s="37">
        <f t="shared" si="1"/>
        <v>10.985970028839439</v>
      </c>
    </row>
    <row r="112" spans="2:3" x14ac:dyDescent="0.25">
      <c r="B112" s="44">
        <v>2.75</v>
      </c>
      <c r="C112" s="37">
        <f t="shared" si="1"/>
        <v>10.525181189339087</v>
      </c>
    </row>
    <row r="113" spans="2:3" x14ac:dyDescent="0.25">
      <c r="B113" s="44">
        <v>2.7749999999999999</v>
      </c>
      <c r="C113" s="37">
        <f t="shared" si="1"/>
        <v>8.8211600244393331</v>
      </c>
    </row>
    <row r="114" spans="2:3" x14ac:dyDescent="0.25">
      <c r="B114" s="44">
        <v>2.8</v>
      </c>
      <c r="C114" s="37">
        <f t="shared" si="1"/>
        <v>6.0751851779239008</v>
      </c>
    </row>
    <row r="115" spans="2:3" x14ac:dyDescent="0.25">
      <c r="B115" s="44">
        <v>2.8250000000000002</v>
      </c>
      <c r="C115" s="37">
        <f t="shared" si="1"/>
        <v>2.6116106568647792</v>
      </c>
    </row>
    <row r="116" spans="2:3" x14ac:dyDescent="0.25">
      <c r="B116" s="44">
        <v>2.85</v>
      </c>
      <c r="C116" s="37">
        <f t="shared" si="1"/>
        <v>-1.1604467996957182</v>
      </c>
    </row>
    <row r="117" spans="2:3" x14ac:dyDescent="0.25">
      <c r="B117" s="44">
        <v>2.875</v>
      </c>
      <c r="C117" s="37">
        <f t="shared" si="1"/>
        <v>-4.7954325092397063</v>
      </c>
    </row>
    <row r="118" spans="2:3" x14ac:dyDescent="0.25">
      <c r="B118" s="44">
        <v>2.9</v>
      </c>
      <c r="C118" s="37">
        <f t="shared" si="1"/>
        <v>-7.8639826769617542</v>
      </c>
    </row>
    <row r="119" spans="2:3" x14ac:dyDescent="0.25">
      <c r="B119" s="44">
        <v>2.9249999999999998</v>
      </c>
      <c r="C119" s="37">
        <f t="shared" si="1"/>
        <v>-10.003640762494912</v>
      </c>
    </row>
    <row r="120" spans="2:3" x14ac:dyDescent="0.25">
      <c r="B120" s="44">
        <v>2.95</v>
      </c>
      <c r="C120" s="37">
        <f t="shared" si="1"/>
        <v>-10.961670774944261</v>
      </c>
    </row>
    <row r="121" spans="2:3" x14ac:dyDescent="0.25">
      <c r="B121" s="44">
        <v>2.9750000000000001</v>
      </c>
      <c r="C121" s="37">
        <f t="shared" si="1"/>
        <v>-10.624910398264671</v>
      </c>
    </row>
    <row r="122" spans="2:3" x14ac:dyDescent="0.25">
      <c r="B122" s="44">
        <v>3</v>
      </c>
      <c r="C122" s="37">
        <f t="shared" si="1"/>
        <v>-9.0331377017045966</v>
      </c>
    </row>
    <row r="123" spans="2:3" x14ac:dyDescent="0.25">
      <c r="B123" s="44">
        <v>3.0249999999999999</v>
      </c>
      <c r="C123" s="37">
        <f t="shared" si="1"/>
        <v>-6.3743725621148197</v>
      </c>
    </row>
    <row r="124" spans="2:3" x14ac:dyDescent="0.25">
      <c r="B124" s="44">
        <v>3.05</v>
      </c>
      <c r="C124" s="37">
        <f t="shared" si="1"/>
        <v>-2.9626677931923737</v>
      </c>
    </row>
    <row r="125" spans="2:3" x14ac:dyDescent="0.25">
      <c r="B125" s="44">
        <v>3.0750000000000002</v>
      </c>
      <c r="C125" s="37">
        <f t="shared" si="1"/>
        <v>0.79898671090879436</v>
      </c>
    </row>
    <row r="126" spans="2:3" x14ac:dyDescent="0.25">
      <c r="B126" s="44">
        <v>3.1</v>
      </c>
      <c r="C126" s="37">
        <f t="shared" si="1"/>
        <v>4.4662650623625115</v>
      </c>
    </row>
    <row r="127" spans="2:3" x14ac:dyDescent="0.25">
      <c r="B127" s="44">
        <v>3.125</v>
      </c>
      <c r="C127" s="37">
        <f t="shared" si="1"/>
        <v>7.6059890658725875</v>
      </c>
    </row>
    <row r="128" spans="2:3" x14ac:dyDescent="0.25">
      <c r="B128" s="44">
        <v>3.15</v>
      </c>
      <c r="C128" s="37">
        <f t="shared" si="1"/>
        <v>9.8472951416318431</v>
      </c>
    </row>
    <row r="129" spans="2:3" x14ac:dyDescent="0.25">
      <c r="B129" s="44">
        <v>3.1749999999999998</v>
      </c>
      <c r="C129" s="37">
        <f t="shared" si="1"/>
        <v>10.92544065819564</v>
      </c>
    </row>
    <row r="130" spans="2:3" x14ac:dyDescent="0.25">
      <c r="B130" s="44">
        <v>3.2</v>
      </c>
      <c r="C130" s="37">
        <f t="shared" si="1"/>
        <v>10.713075279872426</v>
      </c>
    </row>
    <row r="131" spans="2:3" x14ac:dyDescent="0.25">
      <c r="B131" s="44">
        <v>3.2250000000000001</v>
      </c>
      <c r="C131" s="37">
        <f t="shared" si="1"/>
        <v>9.2352835632487071</v>
      </c>
    </row>
    <row r="132" spans="2:3" x14ac:dyDescent="0.25">
      <c r="B132" s="44">
        <v>3.25</v>
      </c>
      <c r="C132" s="37">
        <f t="shared" ref="C132:C195" si="2">11*COS((2*3.14*2.2)*B132)</f>
        <v>6.6666219743143591</v>
      </c>
    </row>
    <row r="133" spans="2:3" x14ac:dyDescent="0.25">
      <c r="B133" s="44">
        <v>3.2749999999999999</v>
      </c>
      <c r="C133" s="37">
        <f t="shared" si="2"/>
        <v>3.3105003131410049</v>
      </c>
    </row>
    <row r="134" spans="2:3" x14ac:dyDescent="0.25">
      <c r="B134" s="44">
        <v>3.3</v>
      </c>
      <c r="C134" s="37">
        <f t="shared" si="2"/>
        <v>-0.43665699183775242</v>
      </c>
    </row>
    <row r="135" spans="2:3" x14ac:dyDescent="0.25">
      <c r="B135" s="44">
        <v>3.3250000000000002</v>
      </c>
      <c r="C135" s="37">
        <f t="shared" si="2"/>
        <v>-4.1322364590959149</v>
      </c>
    </row>
    <row r="136" spans="2:3" x14ac:dyDescent="0.25">
      <c r="B136" s="44">
        <v>3.35</v>
      </c>
      <c r="C136" s="37">
        <f t="shared" si="2"/>
        <v>-7.339716971122181</v>
      </c>
    </row>
    <row r="137" spans="2:3" x14ac:dyDescent="0.25">
      <c r="B137" s="44">
        <v>3.375</v>
      </c>
      <c r="C137" s="37">
        <f t="shared" si="2"/>
        <v>-9.6802315626924322</v>
      </c>
    </row>
    <row r="138" spans="2:3" x14ac:dyDescent="0.25">
      <c r="B138" s="44">
        <v>3.4</v>
      </c>
      <c r="C138" s="37">
        <f t="shared" si="2"/>
        <v>-10.877319112048852</v>
      </c>
    </row>
    <row r="139" spans="2:3" x14ac:dyDescent="0.25">
      <c r="B139" s="44">
        <v>3.4249999999999998</v>
      </c>
      <c r="C139" s="37">
        <f t="shared" si="2"/>
        <v>-10.789579874054413</v>
      </c>
    </row>
    <row r="140" spans="2:3" x14ac:dyDescent="0.25">
      <c r="B140" s="44">
        <v>3.45</v>
      </c>
      <c r="C140" s="37">
        <f t="shared" si="2"/>
        <v>-9.4273775901895043</v>
      </c>
    </row>
    <row r="141" spans="2:3" x14ac:dyDescent="0.25">
      <c r="B141" s="44">
        <v>3.4750000000000001</v>
      </c>
      <c r="C141" s="37">
        <f t="shared" si="2"/>
        <v>-6.951615325453111</v>
      </c>
    </row>
    <row r="142" spans="2:3" x14ac:dyDescent="0.25">
      <c r="B142" s="44">
        <v>3.5</v>
      </c>
      <c r="C142" s="37">
        <f t="shared" si="2"/>
        <v>-3.6547296300722083</v>
      </c>
    </row>
    <row r="143" spans="2:3" x14ac:dyDescent="0.25">
      <c r="B143" s="44">
        <v>3.5249999999999999</v>
      </c>
      <c r="C143" s="37">
        <f t="shared" si="2"/>
        <v>7.3852008111374989E-2</v>
      </c>
    </row>
    <row r="144" spans="2:3" x14ac:dyDescent="0.25">
      <c r="B144" s="44">
        <v>3.55</v>
      </c>
      <c r="C144" s="37">
        <f t="shared" si="2"/>
        <v>3.793710261668314</v>
      </c>
    </row>
    <row r="145" spans="2:3" x14ac:dyDescent="0.25">
      <c r="B145" s="44">
        <v>3.5750000000000002</v>
      </c>
      <c r="C145" s="37">
        <f t="shared" si="2"/>
        <v>7.0654562076402669</v>
      </c>
    </row>
    <row r="146" spans="2:3" x14ac:dyDescent="0.25">
      <c r="B146" s="44">
        <v>3.6</v>
      </c>
      <c r="C146" s="37">
        <f t="shared" si="2"/>
        <v>9.5026318604252182</v>
      </c>
    </row>
    <row r="147" spans="2:3" x14ac:dyDescent="0.25">
      <c r="B147" s="44">
        <v>3.625</v>
      </c>
      <c r="C147" s="37">
        <f t="shared" si="2"/>
        <v>10.817358512786591</v>
      </c>
    </row>
    <row r="148" spans="2:3" x14ac:dyDescent="0.25">
      <c r="B148" s="44">
        <v>3.65</v>
      </c>
      <c r="C148" s="37">
        <f t="shared" si="2"/>
        <v>10.854340911951352</v>
      </c>
    </row>
    <row r="149" spans="2:3" x14ac:dyDescent="0.25">
      <c r="B149" s="44">
        <v>3.6749999999999998</v>
      </c>
      <c r="C149" s="37">
        <f t="shared" si="2"/>
        <v>9.6092107042270634</v>
      </c>
    </row>
    <row r="150" spans="2:3" x14ac:dyDescent="0.25">
      <c r="B150" s="44">
        <v>3.7</v>
      </c>
      <c r="C150" s="37">
        <f t="shared" si="2"/>
        <v>7.2290424240779316</v>
      </c>
    </row>
    <row r="151" spans="2:3" x14ac:dyDescent="0.25">
      <c r="B151" s="44">
        <v>3.7250000000000001</v>
      </c>
      <c r="C151" s="37">
        <f t="shared" si="2"/>
        <v>3.9949810791328995</v>
      </c>
    </row>
    <row r="152" spans="2:3" x14ac:dyDescent="0.25">
      <c r="B152" s="44">
        <v>3.75</v>
      </c>
      <c r="C152" s="37">
        <f t="shared" si="2"/>
        <v>0.28903335735591751</v>
      </c>
    </row>
    <row r="153" spans="2:3" x14ac:dyDescent="0.25">
      <c r="B153" s="44">
        <v>3.7749999999999999</v>
      </c>
      <c r="C153" s="37">
        <f t="shared" si="2"/>
        <v>-3.4510549275638214</v>
      </c>
    </row>
    <row r="154" spans="2:3" x14ac:dyDescent="0.25">
      <c r="B154" s="44">
        <v>3.8</v>
      </c>
      <c r="C154" s="37">
        <f t="shared" si="2"/>
        <v>-6.7835052853548552</v>
      </c>
    </row>
    <row r="155" spans="2:3" x14ac:dyDescent="0.25">
      <c r="B155" s="44">
        <v>3.8250000000000002</v>
      </c>
      <c r="C155" s="37">
        <f t="shared" si="2"/>
        <v>-9.3146893372686428</v>
      </c>
    </row>
    <row r="156" spans="2:3" x14ac:dyDescent="0.25">
      <c r="B156" s="44">
        <v>3.85</v>
      </c>
      <c r="C156" s="37">
        <f t="shared" si="2"/>
        <v>-10.745624122511771</v>
      </c>
    </row>
    <row r="157" spans="2:3" x14ac:dyDescent="0.25">
      <c r="B157" s="44">
        <v>3.875</v>
      </c>
      <c r="C157" s="37">
        <f t="shared" si="2"/>
        <v>-10.907287906583937</v>
      </c>
    </row>
    <row r="158" spans="2:3" x14ac:dyDescent="0.25">
      <c r="B158" s="44">
        <v>3.9</v>
      </c>
      <c r="C158" s="37">
        <f t="shared" si="2"/>
        <v>-9.7805849952077981</v>
      </c>
    </row>
    <row r="159" spans="2:3" x14ac:dyDescent="0.25">
      <c r="B159" s="44">
        <v>3.9249999999999998</v>
      </c>
      <c r="C159" s="37">
        <f t="shared" si="2"/>
        <v>-7.4986013139694778</v>
      </c>
    </row>
    <row r="160" spans="2:3" x14ac:dyDescent="0.25">
      <c r="B160" s="44">
        <v>3.95</v>
      </c>
      <c r="C160" s="37">
        <f t="shared" si="2"/>
        <v>-4.3308843250468456</v>
      </c>
    </row>
    <row r="161" spans="2:3" x14ac:dyDescent="0.25">
      <c r="B161" s="44">
        <v>3.9750000000000001</v>
      </c>
      <c r="C161" s="37">
        <f t="shared" si="2"/>
        <v>-0.65160413416081708</v>
      </c>
    </row>
    <row r="162" spans="2:3" x14ac:dyDescent="0.25">
      <c r="B162" s="44">
        <v>4</v>
      </c>
      <c r="C162" s="37">
        <f t="shared" si="2"/>
        <v>3.1046434084866381</v>
      </c>
    </row>
    <row r="163" spans="2:3" x14ac:dyDescent="0.25">
      <c r="B163" s="44">
        <v>4.0250000000000004</v>
      </c>
      <c r="C163" s="37">
        <f t="shared" si="2"/>
        <v>6.494171084289647</v>
      </c>
    </row>
    <row r="164" spans="2:3" x14ac:dyDescent="0.25">
      <c r="B164" s="44">
        <v>4.05</v>
      </c>
      <c r="C164" s="37">
        <f t="shared" si="2"/>
        <v>9.1166085529575902</v>
      </c>
    </row>
    <row r="165" spans="2:3" x14ac:dyDescent="0.25">
      <c r="B165" s="44">
        <v>4.0750000000000002</v>
      </c>
      <c r="C165" s="37">
        <f t="shared" si="2"/>
        <v>10.662194018115239</v>
      </c>
    </row>
    <row r="166" spans="2:3" x14ac:dyDescent="0.25">
      <c r="B166" s="44">
        <v>4.0999999999999996</v>
      </c>
      <c r="C166" s="37">
        <f t="shared" si="2"/>
        <v>10.948363229571909</v>
      </c>
    </row>
    <row r="167" spans="2:3" x14ac:dyDescent="0.25">
      <c r="B167" s="44">
        <v>4.125</v>
      </c>
      <c r="C167" s="37">
        <f t="shared" si="2"/>
        <v>9.9413139365333567</v>
      </c>
    </row>
    <row r="168" spans="2:3" x14ac:dyDescent="0.25">
      <c r="B168" s="44">
        <v>4.1500000000000004</v>
      </c>
      <c r="C168" s="37">
        <f t="shared" si="2"/>
        <v>7.7599986027960934</v>
      </c>
    </row>
    <row r="169" spans="2:3" x14ac:dyDescent="0.25">
      <c r="B169" s="44">
        <v>4.1749999999999998</v>
      </c>
      <c r="C169" s="37">
        <f t="shared" si="2"/>
        <v>4.6620737651937398</v>
      </c>
    </row>
    <row r="170" spans="2:3" x14ac:dyDescent="0.25">
      <c r="B170" s="44">
        <v>4.2</v>
      </c>
      <c r="C170" s="37">
        <f t="shared" si="2"/>
        <v>1.0134656943034928</v>
      </c>
    </row>
    <row r="171" spans="2:3" x14ac:dyDescent="0.25">
      <c r="B171" s="44">
        <v>4.2249999999999996</v>
      </c>
      <c r="C171" s="37">
        <f t="shared" si="2"/>
        <v>-2.7548527444344959</v>
      </c>
    </row>
    <row r="172" spans="2:3" x14ac:dyDescent="0.25">
      <c r="B172" s="44">
        <v>4.25</v>
      </c>
      <c r="C172" s="37">
        <f t="shared" si="2"/>
        <v>-6.1977685205500297</v>
      </c>
    </row>
    <row r="173" spans="2:3" x14ac:dyDescent="0.25">
      <c r="B173" s="44">
        <v>4.2750000000000004</v>
      </c>
      <c r="C173" s="37">
        <f t="shared" si="2"/>
        <v>-8.9086051018773951</v>
      </c>
    </row>
    <row r="174" spans="2:3" x14ac:dyDescent="0.25">
      <c r="B174" s="44">
        <v>4.3</v>
      </c>
      <c r="C174" s="37">
        <f t="shared" si="2"/>
        <v>-10.567159006295483</v>
      </c>
    </row>
    <row r="175" spans="2:3" x14ac:dyDescent="0.25">
      <c r="B175" s="44">
        <v>4.3250000000000002</v>
      </c>
      <c r="C175" s="37">
        <f t="shared" si="2"/>
        <v>-10.977522173857812</v>
      </c>
    </row>
    <row r="176" spans="2:3" x14ac:dyDescent="0.25">
      <c r="B176" s="44">
        <v>4.3499999999999996</v>
      </c>
      <c r="C176" s="37">
        <f t="shared" si="2"/>
        <v>-10.091222588179127</v>
      </c>
    </row>
    <row r="177" spans="2:3" x14ac:dyDescent="0.25">
      <c r="B177" s="44">
        <v>4.375</v>
      </c>
      <c r="C177" s="37">
        <f t="shared" si="2"/>
        <v>-8.0129497814472579</v>
      </c>
    </row>
    <row r="178" spans="2:3" x14ac:dyDescent="0.25">
      <c r="B178" s="44">
        <v>4.4000000000000004</v>
      </c>
      <c r="C178" s="37">
        <f t="shared" si="2"/>
        <v>-4.9881889275368314</v>
      </c>
    </row>
    <row r="179" spans="2:3" x14ac:dyDescent="0.25">
      <c r="B179" s="44">
        <v>4.4249999999999998</v>
      </c>
      <c r="C179" s="37">
        <f t="shared" si="2"/>
        <v>-1.3742241817072767</v>
      </c>
    </row>
    <row r="180" spans="2:3" x14ac:dyDescent="0.25">
      <c r="B180" s="44">
        <v>4.45</v>
      </c>
      <c r="C180" s="37">
        <f t="shared" si="2"/>
        <v>2.4020636533224278</v>
      </c>
    </row>
    <row r="181" spans="2:3" x14ac:dyDescent="0.25">
      <c r="B181" s="44">
        <v>4.4749999999999996</v>
      </c>
      <c r="C181" s="37">
        <f t="shared" si="2"/>
        <v>5.8946202035640134</v>
      </c>
    </row>
    <row r="182" spans="2:3" x14ac:dyDescent="0.25">
      <c r="B182" s="44">
        <v>4.5</v>
      </c>
      <c r="C182" s="37">
        <f t="shared" si="2"/>
        <v>8.6909053784068764</v>
      </c>
    </row>
    <row r="183" spans="2:3" x14ac:dyDescent="0.25">
      <c r="B183" s="44">
        <v>4.5250000000000004</v>
      </c>
      <c r="C183" s="37">
        <f t="shared" si="2"/>
        <v>10.460622524723302</v>
      </c>
    </row>
    <row r="184" spans="2:3" x14ac:dyDescent="0.25">
      <c r="B184" s="44">
        <v>4.55</v>
      </c>
      <c r="C184" s="37">
        <f t="shared" si="2"/>
        <v>10.994733002366862</v>
      </c>
    </row>
    <row r="185" spans="2:3" x14ac:dyDescent="0.25">
      <c r="B185" s="44">
        <v>4.5750000000000002</v>
      </c>
      <c r="C185" s="37">
        <f t="shared" si="2"/>
        <v>10.230147787101741</v>
      </c>
    </row>
    <row r="186" spans="2:3" x14ac:dyDescent="0.25">
      <c r="B186" s="44">
        <v>4.5999999999999996</v>
      </c>
      <c r="C186" s="37">
        <f t="shared" si="2"/>
        <v>8.257179533697526</v>
      </c>
    </row>
    <row r="187" spans="2:3" x14ac:dyDescent="0.25">
      <c r="B187" s="44">
        <v>4.625</v>
      </c>
      <c r="C187" s="37">
        <f t="shared" si="2"/>
        <v>5.308874862967043</v>
      </c>
    </row>
    <row r="188" spans="2:3" x14ac:dyDescent="0.25">
      <c r="B188" s="44">
        <v>4.6500000000000004</v>
      </c>
      <c r="C188" s="37">
        <f t="shared" si="2"/>
        <v>1.7334869408977895</v>
      </c>
    </row>
    <row r="189" spans="2:3" x14ac:dyDescent="0.25">
      <c r="B189" s="44">
        <v>4.6749999999999998</v>
      </c>
      <c r="C189" s="37">
        <f t="shared" si="2"/>
        <v>-2.046660116602288</v>
      </c>
    </row>
    <row r="190" spans="2:3" x14ac:dyDescent="0.25">
      <c r="B190" s="44">
        <v>4.7</v>
      </c>
      <c r="C190" s="37">
        <f t="shared" si="2"/>
        <v>-5.5850560849483886</v>
      </c>
    </row>
    <row r="191" spans="2:3" x14ac:dyDescent="0.25">
      <c r="B191" s="44">
        <v>4.7249999999999996</v>
      </c>
      <c r="C191" s="37">
        <f t="shared" si="2"/>
        <v>-8.4637463305075489</v>
      </c>
    </row>
    <row r="192" spans="2:3" x14ac:dyDescent="0.25">
      <c r="B192" s="44">
        <v>4.75</v>
      </c>
      <c r="C192" s="37">
        <f t="shared" si="2"/>
        <v>-10.342700529458252</v>
      </c>
    </row>
    <row r="193" spans="2:3" x14ac:dyDescent="0.25">
      <c r="B193" s="44">
        <v>4.7750000000000004</v>
      </c>
      <c r="C193" s="37">
        <f t="shared" si="2"/>
        <v>-10.999976982550082</v>
      </c>
    </row>
    <row r="194" spans="2:3" x14ac:dyDescent="0.25">
      <c r="B194" s="44">
        <v>4.8</v>
      </c>
      <c r="C194" s="37">
        <f t="shared" si="2"/>
        <v>-10.357938324828613</v>
      </c>
    </row>
    <row r="195" spans="2:3" x14ac:dyDescent="0.25">
      <c r="B195" s="44">
        <v>4.8250000000000002</v>
      </c>
      <c r="C195" s="37">
        <f t="shared" si="2"/>
        <v>-8.4924220358656353</v>
      </c>
    </row>
    <row r="196" spans="2:3" x14ac:dyDescent="0.25">
      <c r="B196" s="44">
        <v>4.8499999999999996</v>
      </c>
      <c r="C196" s="37">
        <f t="shared" ref="C196:C202" si="3">11*COS((2*3.14*2.2)*B196)</f>
        <v>-5.6237825316352055</v>
      </c>
    </row>
    <row r="197" spans="2:3" x14ac:dyDescent="0.25">
      <c r="B197" s="44">
        <v>4.875</v>
      </c>
      <c r="C197" s="37">
        <f t="shared" si="3"/>
        <v>-2.0908629443761622</v>
      </c>
    </row>
    <row r="198" spans="2:3" x14ac:dyDescent="0.25">
      <c r="B198" s="44">
        <v>4.9000000000000004</v>
      </c>
      <c r="C198" s="37">
        <f t="shared" si="3"/>
        <v>1.6890289613321632</v>
      </c>
    </row>
    <row r="199" spans="2:3" x14ac:dyDescent="0.25">
      <c r="B199" s="44">
        <v>4.9249999999999998</v>
      </c>
      <c r="C199" s="37">
        <f t="shared" si="3"/>
        <v>5.2694130993838222</v>
      </c>
    </row>
    <row r="200" spans="2:3" x14ac:dyDescent="0.25">
      <c r="B200" s="44">
        <v>4.95</v>
      </c>
      <c r="C200" s="37">
        <f t="shared" si="3"/>
        <v>8.2273752018253106</v>
      </c>
    </row>
    <row r="201" spans="2:3" x14ac:dyDescent="0.25">
      <c r="B201" s="44">
        <v>4.9749999999999996</v>
      </c>
      <c r="C201" s="37">
        <f t="shared" si="3"/>
        <v>10.213521368740624</v>
      </c>
    </row>
    <row r="202" spans="2:3" ht="15.75" thickBot="1" x14ac:dyDescent="0.3">
      <c r="B202" s="46">
        <v>5</v>
      </c>
      <c r="C202" s="48">
        <f t="shared" si="3"/>
        <v>10.993248406773157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E0812-EE81-4766-B19C-EDB1202E7457}">
  <sheetPr codeName="Planilha4"/>
  <dimension ref="B1:C1002"/>
  <sheetViews>
    <sheetView showGridLines="0" showRowColHeaders="0" workbookViewId="0">
      <selection activeCell="Q13" sqref="Q13"/>
    </sheetView>
  </sheetViews>
  <sheetFormatPr defaultRowHeight="15" x14ac:dyDescent="0.25"/>
  <cols>
    <col min="2" max="2" width="11.140625" customWidth="1"/>
    <col min="3" max="3" width="12" customWidth="1"/>
  </cols>
  <sheetData>
    <row r="1" spans="2:3" ht="15.75" thickBot="1" x14ac:dyDescent="0.3"/>
    <row r="2" spans="2:3" ht="15.75" thickBot="1" x14ac:dyDescent="0.3">
      <c r="B2" s="2" t="s">
        <v>11</v>
      </c>
      <c r="C2" s="49" t="s">
        <v>12</v>
      </c>
    </row>
    <row r="3" spans="2:3" x14ac:dyDescent="0.25">
      <c r="B3" s="40">
        <v>0.01</v>
      </c>
      <c r="C3" s="42">
        <f>11*(1-(B3/2*0.5))</f>
        <v>10.9725</v>
      </c>
    </row>
    <row r="4" spans="2:3" x14ac:dyDescent="0.25">
      <c r="B4" s="4">
        <v>0.02</v>
      </c>
      <c r="C4" s="42">
        <f t="shared" ref="C4:C67" si="0">11*(1-(B4/2*0.5))</f>
        <v>10.945</v>
      </c>
    </row>
    <row r="5" spans="2:3" x14ac:dyDescent="0.25">
      <c r="B5" s="4">
        <v>0.03</v>
      </c>
      <c r="C5" s="42">
        <f t="shared" si="0"/>
        <v>10.9175</v>
      </c>
    </row>
    <row r="6" spans="2:3" x14ac:dyDescent="0.25">
      <c r="B6" s="4">
        <v>0.04</v>
      </c>
      <c r="C6" s="42">
        <f t="shared" si="0"/>
        <v>10.89</v>
      </c>
    </row>
    <row r="7" spans="2:3" x14ac:dyDescent="0.25">
      <c r="B7" s="4">
        <v>0.05</v>
      </c>
      <c r="C7" s="42">
        <f t="shared" si="0"/>
        <v>10.862500000000001</v>
      </c>
    </row>
    <row r="8" spans="2:3" x14ac:dyDescent="0.25">
      <c r="B8" s="4">
        <v>0.06</v>
      </c>
      <c r="C8" s="42">
        <f t="shared" si="0"/>
        <v>10.834999999999999</v>
      </c>
    </row>
    <row r="9" spans="2:3" x14ac:dyDescent="0.25">
      <c r="B9" s="4">
        <v>7.0000000000000007E-2</v>
      </c>
      <c r="C9" s="42">
        <f t="shared" si="0"/>
        <v>10.807500000000001</v>
      </c>
    </row>
    <row r="10" spans="2:3" x14ac:dyDescent="0.25">
      <c r="B10" s="4">
        <v>0.08</v>
      </c>
      <c r="C10" s="42">
        <f t="shared" si="0"/>
        <v>10.78</v>
      </c>
    </row>
    <row r="11" spans="2:3" x14ac:dyDescent="0.25">
      <c r="B11" s="4">
        <v>0.09</v>
      </c>
      <c r="C11" s="42">
        <f t="shared" si="0"/>
        <v>10.752500000000001</v>
      </c>
    </row>
    <row r="12" spans="2:3" x14ac:dyDescent="0.25">
      <c r="B12" s="4">
        <v>0.1</v>
      </c>
      <c r="C12" s="42">
        <f t="shared" si="0"/>
        <v>10.725</v>
      </c>
    </row>
    <row r="13" spans="2:3" x14ac:dyDescent="0.25">
      <c r="B13" s="4">
        <v>0.11</v>
      </c>
      <c r="C13" s="42">
        <f t="shared" si="0"/>
        <v>10.6975</v>
      </c>
    </row>
    <row r="14" spans="2:3" x14ac:dyDescent="0.25">
      <c r="B14" s="4">
        <v>0.12</v>
      </c>
      <c r="C14" s="42">
        <f t="shared" si="0"/>
        <v>10.67</v>
      </c>
    </row>
    <row r="15" spans="2:3" x14ac:dyDescent="0.25">
      <c r="B15" s="4">
        <v>0.13</v>
      </c>
      <c r="C15" s="42">
        <f t="shared" si="0"/>
        <v>10.6425</v>
      </c>
    </row>
    <row r="16" spans="2:3" x14ac:dyDescent="0.25">
      <c r="B16" s="4">
        <v>0.14000000000000001</v>
      </c>
      <c r="C16" s="42">
        <f t="shared" si="0"/>
        <v>10.615</v>
      </c>
    </row>
    <row r="17" spans="2:3" x14ac:dyDescent="0.25">
      <c r="B17" s="4">
        <v>0.15</v>
      </c>
      <c r="C17" s="42">
        <f t="shared" si="0"/>
        <v>10.5875</v>
      </c>
    </row>
    <row r="18" spans="2:3" x14ac:dyDescent="0.25">
      <c r="B18" s="4">
        <v>0.16</v>
      </c>
      <c r="C18" s="42">
        <f t="shared" si="0"/>
        <v>10.559999999999999</v>
      </c>
    </row>
    <row r="19" spans="2:3" x14ac:dyDescent="0.25">
      <c r="B19" s="4">
        <v>0.17</v>
      </c>
      <c r="C19" s="42">
        <f t="shared" si="0"/>
        <v>10.532500000000001</v>
      </c>
    </row>
    <row r="20" spans="2:3" x14ac:dyDescent="0.25">
      <c r="B20" s="4">
        <v>0.18</v>
      </c>
      <c r="C20" s="42">
        <f t="shared" si="0"/>
        <v>10.504999999999999</v>
      </c>
    </row>
    <row r="21" spans="2:3" x14ac:dyDescent="0.25">
      <c r="B21" s="4">
        <v>0.19</v>
      </c>
      <c r="C21" s="42">
        <f t="shared" si="0"/>
        <v>10.477500000000001</v>
      </c>
    </row>
    <row r="22" spans="2:3" x14ac:dyDescent="0.25">
      <c r="B22" s="4">
        <v>0.2</v>
      </c>
      <c r="C22" s="42">
        <f t="shared" si="0"/>
        <v>10.45</v>
      </c>
    </row>
    <row r="23" spans="2:3" x14ac:dyDescent="0.25">
      <c r="B23" s="4">
        <v>0.21</v>
      </c>
      <c r="C23" s="42">
        <f t="shared" si="0"/>
        <v>10.422499999999999</v>
      </c>
    </row>
    <row r="24" spans="2:3" x14ac:dyDescent="0.25">
      <c r="B24" s="4">
        <v>0.22</v>
      </c>
      <c r="C24" s="42">
        <f t="shared" si="0"/>
        <v>10.395</v>
      </c>
    </row>
    <row r="25" spans="2:3" x14ac:dyDescent="0.25">
      <c r="B25" s="4">
        <v>0.23</v>
      </c>
      <c r="C25" s="42">
        <f t="shared" si="0"/>
        <v>10.3675</v>
      </c>
    </row>
    <row r="26" spans="2:3" x14ac:dyDescent="0.25">
      <c r="B26" s="4">
        <v>0.24</v>
      </c>
      <c r="C26" s="42">
        <f t="shared" si="0"/>
        <v>10.34</v>
      </c>
    </row>
    <row r="27" spans="2:3" x14ac:dyDescent="0.25">
      <c r="B27" s="4">
        <v>0.25</v>
      </c>
      <c r="C27" s="42">
        <f t="shared" si="0"/>
        <v>10.3125</v>
      </c>
    </row>
    <row r="28" spans="2:3" x14ac:dyDescent="0.25">
      <c r="B28" s="4">
        <v>0.26</v>
      </c>
      <c r="C28" s="42">
        <f t="shared" si="0"/>
        <v>10.285</v>
      </c>
    </row>
    <row r="29" spans="2:3" x14ac:dyDescent="0.25">
      <c r="B29" s="4">
        <v>0.27</v>
      </c>
      <c r="C29" s="42">
        <f t="shared" si="0"/>
        <v>10.2575</v>
      </c>
    </row>
    <row r="30" spans="2:3" x14ac:dyDescent="0.25">
      <c r="B30" s="4">
        <v>0.28000000000000003</v>
      </c>
      <c r="C30" s="42">
        <f t="shared" si="0"/>
        <v>10.229999999999999</v>
      </c>
    </row>
    <row r="31" spans="2:3" x14ac:dyDescent="0.25">
      <c r="B31" s="4">
        <v>0.28999999999999998</v>
      </c>
      <c r="C31" s="42">
        <f t="shared" si="0"/>
        <v>10.202500000000001</v>
      </c>
    </row>
    <row r="32" spans="2:3" x14ac:dyDescent="0.25">
      <c r="B32" s="4">
        <v>0.3</v>
      </c>
      <c r="C32" s="42">
        <f t="shared" si="0"/>
        <v>10.175000000000001</v>
      </c>
    </row>
    <row r="33" spans="2:3" x14ac:dyDescent="0.25">
      <c r="B33" s="4">
        <v>0.31</v>
      </c>
      <c r="C33" s="42">
        <f t="shared" si="0"/>
        <v>10.147499999999999</v>
      </c>
    </row>
    <row r="34" spans="2:3" x14ac:dyDescent="0.25">
      <c r="B34" s="4">
        <v>0.32</v>
      </c>
      <c r="C34" s="42">
        <f t="shared" si="0"/>
        <v>10.120000000000001</v>
      </c>
    </row>
    <row r="35" spans="2:3" x14ac:dyDescent="0.25">
      <c r="B35" s="4">
        <v>0.33</v>
      </c>
      <c r="C35" s="42">
        <f t="shared" si="0"/>
        <v>10.092499999999999</v>
      </c>
    </row>
    <row r="36" spans="2:3" x14ac:dyDescent="0.25">
      <c r="B36" s="4">
        <v>0.34</v>
      </c>
      <c r="C36" s="42">
        <f t="shared" si="0"/>
        <v>10.065000000000001</v>
      </c>
    </row>
    <row r="37" spans="2:3" x14ac:dyDescent="0.25">
      <c r="B37" s="4">
        <v>0.35</v>
      </c>
      <c r="C37" s="42">
        <f t="shared" si="0"/>
        <v>10.0375</v>
      </c>
    </row>
    <row r="38" spans="2:3" x14ac:dyDescent="0.25">
      <c r="B38" s="4">
        <v>0.36</v>
      </c>
      <c r="C38" s="42">
        <f t="shared" si="0"/>
        <v>10.01</v>
      </c>
    </row>
    <row r="39" spans="2:3" x14ac:dyDescent="0.25">
      <c r="B39" s="4">
        <v>0.37</v>
      </c>
      <c r="C39" s="42">
        <f t="shared" si="0"/>
        <v>9.9824999999999999</v>
      </c>
    </row>
    <row r="40" spans="2:3" x14ac:dyDescent="0.25">
      <c r="B40" s="4">
        <v>0.38</v>
      </c>
      <c r="C40" s="42">
        <f t="shared" si="0"/>
        <v>9.9550000000000001</v>
      </c>
    </row>
    <row r="41" spans="2:3" x14ac:dyDescent="0.25">
      <c r="B41" s="4">
        <v>0.39</v>
      </c>
      <c r="C41" s="42">
        <f t="shared" si="0"/>
        <v>9.9275000000000002</v>
      </c>
    </row>
    <row r="42" spans="2:3" x14ac:dyDescent="0.25">
      <c r="B42" s="4">
        <v>0.4</v>
      </c>
      <c r="C42" s="42">
        <f t="shared" si="0"/>
        <v>9.9</v>
      </c>
    </row>
    <row r="43" spans="2:3" x14ac:dyDescent="0.25">
      <c r="B43" s="4">
        <v>0.41</v>
      </c>
      <c r="C43" s="42">
        <f t="shared" si="0"/>
        <v>9.8724999999999987</v>
      </c>
    </row>
    <row r="44" spans="2:3" x14ac:dyDescent="0.25">
      <c r="B44" s="4">
        <v>0.42</v>
      </c>
      <c r="C44" s="42">
        <f t="shared" si="0"/>
        <v>9.8450000000000006</v>
      </c>
    </row>
    <row r="45" spans="2:3" x14ac:dyDescent="0.25">
      <c r="B45" s="4">
        <v>0.43</v>
      </c>
      <c r="C45" s="42">
        <f t="shared" si="0"/>
        <v>9.817499999999999</v>
      </c>
    </row>
    <row r="46" spans="2:3" x14ac:dyDescent="0.25">
      <c r="B46" s="4">
        <v>0.44</v>
      </c>
      <c r="C46" s="42">
        <f t="shared" si="0"/>
        <v>9.7900000000000009</v>
      </c>
    </row>
    <row r="47" spans="2:3" x14ac:dyDescent="0.25">
      <c r="B47" s="4">
        <v>0.45</v>
      </c>
      <c r="C47" s="42">
        <f t="shared" si="0"/>
        <v>9.7624999999999993</v>
      </c>
    </row>
    <row r="48" spans="2:3" x14ac:dyDescent="0.25">
      <c r="B48" s="4">
        <v>0.46</v>
      </c>
      <c r="C48" s="42">
        <f t="shared" si="0"/>
        <v>9.7349999999999994</v>
      </c>
    </row>
    <row r="49" spans="2:3" x14ac:dyDescent="0.25">
      <c r="B49" s="4">
        <v>0.47</v>
      </c>
      <c r="C49" s="42">
        <f t="shared" si="0"/>
        <v>9.7075000000000014</v>
      </c>
    </row>
    <row r="50" spans="2:3" x14ac:dyDescent="0.25">
      <c r="B50" s="4">
        <v>0.48</v>
      </c>
      <c r="C50" s="42">
        <f t="shared" si="0"/>
        <v>9.68</v>
      </c>
    </row>
    <row r="51" spans="2:3" x14ac:dyDescent="0.25">
      <c r="B51" s="4">
        <v>0.49</v>
      </c>
      <c r="C51" s="42">
        <f t="shared" si="0"/>
        <v>9.6524999999999999</v>
      </c>
    </row>
    <row r="52" spans="2:3" x14ac:dyDescent="0.25">
      <c r="B52" s="4">
        <v>0.5</v>
      </c>
      <c r="C52" s="42">
        <f t="shared" si="0"/>
        <v>9.625</v>
      </c>
    </row>
    <row r="53" spans="2:3" x14ac:dyDescent="0.25">
      <c r="B53" s="4">
        <v>0.51</v>
      </c>
      <c r="C53" s="42">
        <f t="shared" si="0"/>
        <v>9.5975000000000001</v>
      </c>
    </row>
    <row r="54" spans="2:3" x14ac:dyDescent="0.25">
      <c r="B54" s="4">
        <v>0.52</v>
      </c>
      <c r="C54" s="42">
        <f t="shared" si="0"/>
        <v>9.57</v>
      </c>
    </row>
    <row r="55" spans="2:3" x14ac:dyDescent="0.25">
      <c r="B55" s="4">
        <v>0.53</v>
      </c>
      <c r="C55" s="42">
        <f t="shared" si="0"/>
        <v>9.5424999999999986</v>
      </c>
    </row>
    <row r="56" spans="2:3" x14ac:dyDescent="0.25">
      <c r="B56" s="4">
        <v>0.54</v>
      </c>
      <c r="C56" s="42">
        <f t="shared" si="0"/>
        <v>9.5150000000000006</v>
      </c>
    </row>
    <row r="57" spans="2:3" x14ac:dyDescent="0.25">
      <c r="B57" s="4">
        <v>0.55000000000000004</v>
      </c>
      <c r="C57" s="42">
        <f t="shared" si="0"/>
        <v>9.4875000000000007</v>
      </c>
    </row>
    <row r="58" spans="2:3" x14ac:dyDescent="0.25">
      <c r="B58" s="4">
        <v>0.56000000000000005</v>
      </c>
      <c r="C58" s="42">
        <f t="shared" si="0"/>
        <v>9.4599999999999991</v>
      </c>
    </row>
    <row r="59" spans="2:3" x14ac:dyDescent="0.25">
      <c r="B59" s="4">
        <v>0.56999999999999995</v>
      </c>
      <c r="C59" s="42">
        <f t="shared" si="0"/>
        <v>9.432500000000001</v>
      </c>
    </row>
    <row r="60" spans="2:3" x14ac:dyDescent="0.25">
      <c r="B60" s="4">
        <v>0.57999999999999996</v>
      </c>
      <c r="C60" s="42">
        <f t="shared" si="0"/>
        <v>9.4049999999999994</v>
      </c>
    </row>
    <row r="61" spans="2:3" x14ac:dyDescent="0.25">
      <c r="B61" s="4">
        <v>0.59</v>
      </c>
      <c r="C61" s="42">
        <f t="shared" si="0"/>
        <v>9.3775000000000013</v>
      </c>
    </row>
    <row r="62" spans="2:3" x14ac:dyDescent="0.25">
      <c r="B62" s="4">
        <v>0.6</v>
      </c>
      <c r="C62" s="42">
        <f t="shared" si="0"/>
        <v>9.35</v>
      </c>
    </row>
    <row r="63" spans="2:3" x14ac:dyDescent="0.25">
      <c r="B63" s="4">
        <v>0.61</v>
      </c>
      <c r="C63" s="42">
        <f t="shared" si="0"/>
        <v>9.3224999999999998</v>
      </c>
    </row>
    <row r="64" spans="2:3" x14ac:dyDescent="0.25">
      <c r="B64" s="4">
        <v>0.62</v>
      </c>
      <c r="C64" s="42">
        <f t="shared" si="0"/>
        <v>9.2949999999999999</v>
      </c>
    </row>
    <row r="65" spans="2:3" x14ac:dyDescent="0.25">
      <c r="B65" s="4">
        <v>0.63</v>
      </c>
      <c r="C65" s="42">
        <f t="shared" si="0"/>
        <v>9.2675000000000001</v>
      </c>
    </row>
    <row r="66" spans="2:3" x14ac:dyDescent="0.25">
      <c r="B66" s="4">
        <v>0.64</v>
      </c>
      <c r="C66" s="42">
        <f t="shared" si="0"/>
        <v>9.24</v>
      </c>
    </row>
    <row r="67" spans="2:3" x14ac:dyDescent="0.25">
      <c r="B67" s="4">
        <v>0.65</v>
      </c>
      <c r="C67" s="42">
        <f t="shared" si="0"/>
        <v>9.2125000000000004</v>
      </c>
    </row>
    <row r="68" spans="2:3" x14ac:dyDescent="0.25">
      <c r="B68" s="4">
        <v>0.66</v>
      </c>
      <c r="C68" s="42">
        <f t="shared" ref="C68:C131" si="1">11*(1-(B68/2*0.5))</f>
        <v>9.1849999999999987</v>
      </c>
    </row>
    <row r="69" spans="2:3" x14ac:dyDescent="0.25">
      <c r="B69" s="4">
        <v>0.67</v>
      </c>
      <c r="C69" s="42">
        <f t="shared" si="1"/>
        <v>9.1575000000000006</v>
      </c>
    </row>
    <row r="70" spans="2:3" x14ac:dyDescent="0.25">
      <c r="B70" s="4">
        <v>0.68</v>
      </c>
      <c r="C70" s="42">
        <f t="shared" si="1"/>
        <v>9.129999999999999</v>
      </c>
    </row>
    <row r="71" spans="2:3" x14ac:dyDescent="0.25">
      <c r="B71" s="4">
        <v>0.69</v>
      </c>
      <c r="C71" s="42">
        <f t="shared" si="1"/>
        <v>9.1025000000000009</v>
      </c>
    </row>
    <row r="72" spans="2:3" x14ac:dyDescent="0.25">
      <c r="B72" s="4">
        <v>0.7</v>
      </c>
      <c r="C72" s="42">
        <f t="shared" si="1"/>
        <v>9.0749999999999993</v>
      </c>
    </row>
    <row r="73" spans="2:3" x14ac:dyDescent="0.25">
      <c r="B73" s="4">
        <v>0.71</v>
      </c>
      <c r="C73" s="42">
        <f t="shared" si="1"/>
        <v>9.0474999999999994</v>
      </c>
    </row>
    <row r="74" spans="2:3" x14ac:dyDescent="0.25">
      <c r="B74" s="4">
        <v>0.72</v>
      </c>
      <c r="C74" s="42">
        <f t="shared" si="1"/>
        <v>9.0200000000000014</v>
      </c>
    </row>
    <row r="75" spans="2:3" x14ac:dyDescent="0.25">
      <c r="B75" s="4">
        <v>0.73</v>
      </c>
      <c r="C75" s="42">
        <f t="shared" si="1"/>
        <v>8.9924999999999997</v>
      </c>
    </row>
    <row r="76" spans="2:3" x14ac:dyDescent="0.25">
      <c r="B76" s="4">
        <v>0.74</v>
      </c>
      <c r="C76" s="42">
        <f t="shared" si="1"/>
        <v>8.9649999999999999</v>
      </c>
    </row>
    <row r="77" spans="2:3" x14ac:dyDescent="0.25">
      <c r="B77" s="4">
        <v>0.75</v>
      </c>
      <c r="C77" s="42">
        <f t="shared" si="1"/>
        <v>8.9375</v>
      </c>
    </row>
    <row r="78" spans="2:3" x14ac:dyDescent="0.25">
      <c r="B78" s="4">
        <v>0.76</v>
      </c>
      <c r="C78" s="42">
        <f t="shared" si="1"/>
        <v>8.91</v>
      </c>
    </row>
    <row r="79" spans="2:3" x14ac:dyDescent="0.25">
      <c r="B79" s="4">
        <v>0.77</v>
      </c>
      <c r="C79" s="42">
        <f t="shared" si="1"/>
        <v>8.8825000000000003</v>
      </c>
    </row>
    <row r="80" spans="2:3" x14ac:dyDescent="0.25">
      <c r="B80" s="4">
        <v>0.78</v>
      </c>
      <c r="C80" s="42">
        <f t="shared" si="1"/>
        <v>8.8549999999999986</v>
      </c>
    </row>
    <row r="81" spans="2:3" x14ac:dyDescent="0.25">
      <c r="B81" s="4">
        <v>0.79</v>
      </c>
      <c r="C81" s="42">
        <f t="shared" si="1"/>
        <v>8.8275000000000006</v>
      </c>
    </row>
    <row r="82" spans="2:3" x14ac:dyDescent="0.25">
      <c r="B82" s="4">
        <v>0.8</v>
      </c>
      <c r="C82" s="42">
        <f t="shared" si="1"/>
        <v>8.8000000000000007</v>
      </c>
    </row>
    <row r="83" spans="2:3" x14ac:dyDescent="0.25">
      <c r="B83" s="4">
        <v>0.81</v>
      </c>
      <c r="C83" s="42">
        <f t="shared" si="1"/>
        <v>8.7724999999999991</v>
      </c>
    </row>
    <row r="84" spans="2:3" x14ac:dyDescent="0.25">
      <c r="B84" s="4">
        <v>0.82</v>
      </c>
      <c r="C84" s="42">
        <f t="shared" si="1"/>
        <v>8.745000000000001</v>
      </c>
    </row>
    <row r="85" spans="2:3" x14ac:dyDescent="0.25">
      <c r="B85" s="4">
        <v>0.83</v>
      </c>
      <c r="C85" s="42">
        <f t="shared" si="1"/>
        <v>8.7174999999999994</v>
      </c>
    </row>
    <row r="86" spans="2:3" x14ac:dyDescent="0.25">
      <c r="B86" s="4">
        <v>0.84</v>
      </c>
      <c r="C86" s="42">
        <f t="shared" si="1"/>
        <v>8.6900000000000013</v>
      </c>
    </row>
    <row r="87" spans="2:3" x14ac:dyDescent="0.25">
      <c r="B87" s="4">
        <v>0.85</v>
      </c>
      <c r="C87" s="42">
        <f t="shared" si="1"/>
        <v>8.6624999999999996</v>
      </c>
    </row>
    <row r="88" spans="2:3" x14ac:dyDescent="0.25">
      <c r="B88" s="4">
        <v>0.86</v>
      </c>
      <c r="C88" s="42">
        <f t="shared" si="1"/>
        <v>8.6349999999999998</v>
      </c>
    </row>
    <row r="89" spans="2:3" x14ac:dyDescent="0.25">
      <c r="B89" s="4">
        <v>0.87</v>
      </c>
      <c r="C89" s="42">
        <f t="shared" si="1"/>
        <v>8.6074999999999999</v>
      </c>
    </row>
    <row r="90" spans="2:3" x14ac:dyDescent="0.25">
      <c r="B90" s="4">
        <v>0.88</v>
      </c>
      <c r="C90" s="42">
        <f t="shared" si="1"/>
        <v>8.58</v>
      </c>
    </row>
    <row r="91" spans="2:3" x14ac:dyDescent="0.25">
      <c r="B91" s="4">
        <v>0.89</v>
      </c>
      <c r="C91" s="42">
        <f t="shared" si="1"/>
        <v>8.5525000000000002</v>
      </c>
    </row>
    <row r="92" spans="2:3" x14ac:dyDescent="0.25">
      <c r="B92" s="4">
        <v>0.9</v>
      </c>
      <c r="C92" s="42">
        <f t="shared" si="1"/>
        <v>8.5250000000000004</v>
      </c>
    </row>
    <row r="93" spans="2:3" x14ac:dyDescent="0.25">
      <c r="B93" s="4">
        <v>0.91</v>
      </c>
      <c r="C93" s="42">
        <f t="shared" si="1"/>
        <v>8.4974999999999987</v>
      </c>
    </row>
    <row r="94" spans="2:3" x14ac:dyDescent="0.25">
      <c r="B94" s="4">
        <v>0.92</v>
      </c>
      <c r="C94" s="42">
        <f t="shared" si="1"/>
        <v>8.4700000000000006</v>
      </c>
    </row>
    <row r="95" spans="2:3" x14ac:dyDescent="0.25">
      <c r="B95" s="4">
        <v>0.93</v>
      </c>
      <c r="C95" s="42">
        <f t="shared" si="1"/>
        <v>8.442499999999999</v>
      </c>
    </row>
    <row r="96" spans="2:3" x14ac:dyDescent="0.25">
      <c r="B96" s="4">
        <v>0.94</v>
      </c>
      <c r="C96" s="42">
        <f t="shared" si="1"/>
        <v>8.4150000000000009</v>
      </c>
    </row>
    <row r="97" spans="2:3" x14ac:dyDescent="0.25">
      <c r="B97" s="4">
        <v>0.95</v>
      </c>
      <c r="C97" s="42">
        <f t="shared" si="1"/>
        <v>8.3874999999999993</v>
      </c>
    </row>
    <row r="98" spans="2:3" x14ac:dyDescent="0.25">
      <c r="B98" s="4">
        <v>0.96</v>
      </c>
      <c r="C98" s="42">
        <f t="shared" si="1"/>
        <v>8.36</v>
      </c>
    </row>
    <row r="99" spans="2:3" x14ac:dyDescent="0.25">
      <c r="B99" s="4">
        <v>0.97</v>
      </c>
      <c r="C99" s="42">
        <f t="shared" si="1"/>
        <v>8.3325000000000014</v>
      </c>
    </row>
    <row r="100" spans="2:3" x14ac:dyDescent="0.25">
      <c r="B100" s="4">
        <v>0.98</v>
      </c>
      <c r="C100" s="42">
        <f t="shared" si="1"/>
        <v>8.3049999999999997</v>
      </c>
    </row>
    <row r="101" spans="2:3" x14ac:dyDescent="0.25">
      <c r="B101" s="4">
        <v>0.99</v>
      </c>
      <c r="C101" s="42">
        <f t="shared" si="1"/>
        <v>8.2774999999999999</v>
      </c>
    </row>
    <row r="102" spans="2:3" x14ac:dyDescent="0.25">
      <c r="B102" s="4">
        <v>1</v>
      </c>
      <c r="C102" s="42">
        <f t="shared" si="1"/>
        <v>8.25</v>
      </c>
    </row>
    <row r="103" spans="2:3" x14ac:dyDescent="0.25">
      <c r="B103" s="4">
        <v>1.01</v>
      </c>
      <c r="C103" s="42">
        <f t="shared" si="1"/>
        <v>8.2225000000000001</v>
      </c>
    </row>
    <row r="104" spans="2:3" x14ac:dyDescent="0.25">
      <c r="B104" s="4">
        <v>1.02</v>
      </c>
      <c r="C104" s="42">
        <f t="shared" si="1"/>
        <v>8.1950000000000003</v>
      </c>
    </row>
    <row r="105" spans="2:3" x14ac:dyDescent="0.25">
      <c r="B105" s="4">
        <v>1.03</v>
      </c>
      <c r="C105" s="42">
        <f t="shared" si="1"/>
        <v>8.1674999999999986</v>
      </c>
    </row>
    <row r="106" spans="2:3" x14ac:dyDescent="0.25">
      <c r="B106" s="4">
        <v>1.04</v>
      </c>
      <c r="C106" s="42">
        <f t="shared" si="1"/>
        <v>8.14</v>
      </c>
    </row>
    <row r="107" spans="2:3" x14ac:dyDescent="0.25">
      <c r="B107" s="4">
        <v>1.05</v>
      </c>
      <c r="C107" s="42">
        <f t="shared" si="1"/>
        <v>8.1125000000000007</v>
      </c>
    </row>
    <row r="108" spans="2:3" x14ac:dyDescent="0.25">
      <c r="B108" s="4">
        <v>1.06</v>
      </c>
      <c r="C108" s="42">
        <f t="shared" si="1"/>
        <v>8.0849999999999991</v>
      </c>
    </row>
    <row r="109" spans="2:3" x14ac:dyDescent="0.25">
      <c r="B109" s="4">
        <v>1.07</v>
      </c>
      <c r="C109" s="42">
        <f t="shared" si="1"/>
        <v>8.0574999999999992</v>
      </c>
    </row>
    <row r="110" spans="2:3" x14ac:dyDescent="0.25">
      <c r="B110" s="4">
        <v>1.08</v>
      </c>
      <c r="C110" s="42">
        <f t="shared" si="1"/>
        <v>8.0299999999999994</v>
      </c>
    </row>
    <row r="111" spans="2:3" x14ac:dyDescent="0.25">
      <c r="B111" s="4">
        <v>1.0900000000000001</v>
      </c>
      <c r="C111" s="42">
        <f t="shared" si="1"/>
        <v>8.0025000000000013</v>
      </c>
    </row>
    <row r="112" spans="2:3" x14ac:dyDescent="0.25">
      <c r="B112" s="4">
        <v>1.1000000000000001</v>
      </c>
      <c r="C112" s="42">
        <f t="shared" si="1"/>
        <v>7.9749999999999996</v>
      </c>
    </row>
    <row r="113" spans="2:3" x14ac:dyDescent="0.25">
      <c r="B113" s="4">
        <v>1.1100000000000001</v>
      </c>
      <c r="C113" s="42">
        <f t="shared" si="1"/>
        <v>7.9474999999999989</v>
      </c>
    </row>
    <row r="114" spans="2:3" x14ac:dyDescent="0.25">
      <c r="B114" s="4">
        <v>1.1200000000000001</v>
      </c>
      <c r="C114" s="42">
        <f t="shared" si="1"/>
        <v>7.92</v>
      </c>
    </row>
    <row r="115" spans="2:3" x14ac:dyDescent="0.25">
      <c r="B115" s="4">
        <v>1.1299999999999999</v>
      </c>
      <c r="C115" s="42">
        <f t="shared" si="1"/>
        <v>7.8925000000000001</v>
      </c>
    </row>
    <row r="116" spans="2:3" x14ac:dyDescent="0.25">
      <c r="B116" s="4">
        <v>1.1399999999999999</v>
      </c>
      <c r="C116" s="42">
        <f t="shared" si="1"/>
        <v>7.8650000000000011</v>
      </c>
    </row>
    <row r="117" spans="2:3" x14ac:dyDescent="0.25">
      <c r="B117" s="4">
        <v>1.1499999999999999</v>
      </c>
      <c r="C117" s="42">
        <f t="shared" si="1"/>
        <v>7.8375000000000004</v>
      </c>
    </row>
    <row r="118" spans="2:3" x14ac:dyDescent="0.25">
      <c r="B118" s="4">
        <v>1.1599999999999999</v>
      </c>
      <c r="C118" s="42">
        <f t="shared" si="1"/>
        <v>7.81</v>
      </c>
    </row>
    <row r="119" spans="2:3" x14ac:dyDescent="0.25">
      <c r="B119" s="4">
        <v>1.17</v>
      </c>
      <c r="C119" s="42">
        <f t="shared" si="1"/>
        <v>7.7825000000000006</v>
      </c>
    </row>
    <row r="120" spans="2:3" x14ac:dyDescent="0.25">
      <c r="B120" s="4">
        <v>1.18</v>
      </c>
      <c r="C120" s="42">
        <f t="shared" si="1"/>
        <v>7.7550000000000008</v>
      </c>
    </row>
    <row r="121" spans="2:3" x14ac:dyDescent="0.25">
      <c r="B121" s="4">
        <v>1.19</v>
      </c>
      <c r="C121" s="42">
        <f t="shared" si="1"/>
        <v>7.7275</v>
      </c>
    </row>
    <row r="122" spans="2:3" x14ac:dyDescent="0.25">
      <c r="B122" s="4">
        <v>1.2</v>
      </c>
      <c r="C122" s="42">
        <f t="shared" si="1"/>
        <v>7.6999999999999993</v>
      </c>
    </row>
    <row r="123" spans="2:3" x14ac:dyDescent="0.25">
      <c r="B123" s="4">
        <v>1.21</v>
      </c>
      <c r="C123" s="42">
        <f t="shared" si="1"/>
        <v>7.6725000000000003</v>
      </c>
    </row>
    <row r="124" spans="2:3" x14ac:dyDescent="0.25">
      <c r="B124" s="4">
        <v>1.22</v>
      </c>
      <c r="C124" s="42">
        <f t="shared" si="1"/>
        <v>7.6450000000000005</v>
      </c>
    </row>
    <row r="125" spans="2:3" x14ac:dyDescent="0.25">
      <c r="B125" s="4">
        <v>1.23</v>
      </c>
      <c r="C125" s="42">
        <f t="shared" si="1"/>
        <v>7.6174999999999997</v>
      </c>
    </row>
    <row r="126" spans="2:3" x14ac:dyDescent="0.25">
      <c r="B126" s="4">
        <v>1.24</v>
      </c>
      <c r="C126" s="42">
        <f t="shared" si="1"/>
        <v>7.59</v>
      </c>
    </row>
    <row r="127" spans="2:3" x14ac:dyDescent="0.25">
      <c r="B127" s="4">
        <v>1.25</v>
      </c>
      <c r="C127" s="42">
        <f t="shared" si="1"/>
        <v>7.5625</v>
      </c>
    </row>
    <row r="128" spans="2:3" x14ac:dyDescent="0.25">
      <c r="B128" s="4">
        <v>1.26</v>
      </c>
      <c r="C128" s="42">
        <f t="shared" si="1"/>
        <v>7.5350000000000001</v>
      </c>
    </row>
    <row r="129" spans="2:3" x14ac:dyDescent="0.25">
      <c r="B129" s="4">
        <v>1.27</v>
      </c>
      <c r="C129" s="42">
        <f t="shared" si="1"/>
        <v>7.5075000000000003</v>
      </c>
    </row>
    <row r="130" spans="2:3" x14ac:dyDescent="0.25">
      <c r="B130" s="4">
        <v>1.28</v>
      </c>
      <c r="C130" s="42">
        <f t="shared" si="1"/>
        <v>7.4799999999999995</v>
      </c>
    </row>
    <row r="131" spans="2:3" x14ac:dyDescent="0.25">
      <c r="B131" s="4">
        <v>1.29</v>
      </c>
      <c r="C131" s="42">
        <f t="shared" si="1"/>
        <v>7.4524999999999997</v>
      </c>
    </row>
    <row r="132" spans="2:3" x14ac:dyDescent="0.25">
      <c r="B132" s="4">
        <v>1.3</v>
      </c>
      <c r="C132" s="42">
        <f t="shared" ref="C132:C195" si="2">11*(1-(B132/2*0.5))</f>
        <v>7.4250000000000007</v>
      </c>
    </row>
    <row r="133" spans="2:3" x14ac:dyDescent="0.25">
      <c r="B133" s="4">
        <v>1.31</v>
      </c>
      <c r="C133" s="42">
        <f t="shared" si="2"/>
        <v>7.3975</v>
      </c>
    </row>
    <row r="134" spans="2:3" x14ac:dyDescent="0.25">
      <c r="B134" s="4">
        <v>1.32</v>
      </c>
      <c r="C134" s="42">
        <f t="shared" si="2"/>
        <v>7.3699999999999992</v>
      </c>
    </row>
    <row r="135" spans="2:3" x14ac:dyDescent="0.25">
      <c r="B135" s="4">
        <v>1.33</v>
      </c>
      <c r="C135" s="42">
        <f t="shared" si="2"/>
        <v>7.3424999999999994</v>
      </c>
    </row>
    <row r="136" spans="2:3" x14ac:dyDescent="0.25">
      <c r="B136" s="4">
        <v>1.34</v>
      </c>
      <c r="C136" s="42">
        <f t="shared" si="2"/>
        <v>7.3150000000000004</v>
      </c>
    </row>
    <row r="137" spans="2:3" x14ac:dyDescent="0.25">
      <c r="B137" s="4">
        <v>1.35</v>
      </c>
      <c r="C137" s="42">
        <f t="shared" si="2"/>
        <v>7.2874999999999996</v>
      </c>
    </row>
    <row r="138" spans="2:3" x14ac:dyDescent="0.25">
      <c r="B138" s="4">
        <v>1.36</v>
      </c>
      <c r="C138" s="42">
        <f t="shared" si="2"/>
        <v>7.2599999999999989</v>
      </c>
    </row>
    <row r="139" spans="2:3" x14ac:dyDescent="0.25">
      <c r="B139" s="4">
        <v>1.37</v>
      </c>
      <c r="C139" s="42">
        <f t="shared" si="2"/>
        <v>7.2324999999999999</v>
      </c>
    </row>
    <row r="140" spans="2:3" x14ac:dyDescent="0.25">
      <c r="B140" s="4">
        <v>1.38</v>
      </c>
      <c r="C140" s="42">
        <f t="shared" si="2"/>
        <v>7.2050000000000001</v>
      </c>
    </row>
    <row r="141" spans="2:3" x14ac:dyDescent="0.25">
      <c r="B141" s="4">
        <v>1.39</v>
      </c>
      <c r="C141" s="42">
        <f t="shared" si="2"/>
        <v>7.1775000000000011</v>
      </c>
    </row>
    <row r="142" spans="2:3" x14ac:dyDescent="0.25">
      <c r="B142" s="4">
        <v>1.4</v>
      </c>
      <c r="C142" s="42">
        <f t="shared" si="2"/>
        <v>7.15</v>
      </c>
    </row>
    <row r="143" spans="2:3" x14ac:dyDescent="0.25">
      <c r="B143" s="4">
        <v>1.41</v>
      </c>
      <c r="C143" s="42">
        <f t="shared" si="2"/>
        <v>7.1224999999999996</v>
      </c>
    </row>
    <row r="144" spans="2:3" x14ac:dyDescent="0.25">
      <c r="B144" s="4">
        <v>1.42</v>
      </c>
      <c r="C144" s="42">
        <f t="shared" si="2"/>
        <v>7.0950000000000006</v>
      </c>
    </row>
    <row r="145" spans="2:3" x14ac:dyDescent="0.25">
      <c r="B145" s="4">
        <v>1.43</v>
      </c>
      <c r="C145" s="42">
        <f t="shared" si="2"/>
        <v>7.0675000000000008</v>
      </c>
    </row>
    <row r="146" spans="2:3" x14ac:dyDescent="0.25">
      <c r="B146" s="4">
        <v>1.44</v>
      </c>
      <c r="C146" s="42">
        <f t="shared" si="2"/>
        <v>7.04</v>
      </c>
    </row>
    <row r="147" spans="2:3" x14ac:dyDescent="0.25">
      <c r="B147" s="4">
        <v>1.45</v>
      </c>
      <c r="C147" s="42">
        <f t="shared" si="2"/>
        <v>7.0124999999999993</v>
      </c>
    </row>
    <row r="148" spans="2:3" x14ac:dyDescent="0.25">
      <c r="B148" s="4">
        <v>1.46</v>
      </c>
      <c r="C148" s="42">
        <f t="shared" si="2"/>
        <v>6.9850000000000003</v>
      </c>
    </row>
    <row r="149" spans="2:3" x14ac:dyDescent="0.25">
      <c r="B149" s="4">
        <v>1.47</v>
      </c>
      <c r="C149" s="42">
        <f t="shared" si="2"/>
        <v>6.9575000000000005</v>
      </c>
    </row>
    <row r="150" spans="2:3" x14ac:dyDescent="0.25">
      <c r="B150" s="4">
        <v>1.48</v>
      </c>
      <c r="C150" s="42">
        <f t="shared" si="2"/>
        <v>6.93</v>
      </c>
    </row>
    <row r="151" spans="2:3" x14ac:dyDescent="0.25">
      <c r="B151" s="4">
        <v>1.49</v>
      </c>
      <c r="C151" s="42">
        <f t="shared" si="2"/>
        <v>6.9024999999999999</v>
      </c>
    </row>
    <row r="152" spans="2:3" x14ac:dyDescent="0.25">
      <c r="B152" s="4">
        <v>1.5</v>
      </c>
      <c r="C152" s="42">
        <f t="shared" si="2"/>
        <v>6.875</v>
      </c>
    </row>
    <row r="153" spans="2:3" x14ac:dyDescent="0.25">
      <c r="B153" s="4">
        <v>1.51</v>
      </c>
      <c r="C153" s="42">
        <f t="shared" si="2"/>
        <v>6.8475000000000001</v>
      </c>
    </row>
    <row r="154" spans="2:3" x14ac:dyDescent="0.25">
      <c r="B154" s="4">
        <v>1.52</v>
      </c>
      <c r="C154" s="42">
        <f t="shared" si="2"/>
        <v>6.82</v>
      </c>
    </row>
    <row r="155" spans="2:3" x14ac:dyDescent="0.25">
      <c r="B155" s="4">
        <v>1.53</v>
      </c>
      <c r="C155" s="42">
        <f t="shared" si="2"/>
        <v>6.7924999999999995</v>
      </c>
    </row>
    <row r="156" spans="2:3" x14ac:dyDescent="0.25">
      <c r="B156" s="4">
        <v>1.54</v>
      </c>
      <c r="C156" s="42">
        <f t="shared" si="2"/>
        <v>6.7649999999999997</v>
      </c>
    </row>
    <row r="157" spans="2:3" x14ac:dyDescent="0.25">
      <c r="B157" s="4">
        <v>1.55</v>
      </c>
      <c r="C157" s="42">
        <f t="shared" si="2"/>
        <v>6.7375000000000007</v>
      </c>
    </row>
    <row r="158" spans="2:3" x14ac:dyDescent="0.25">
      <c r="B158" s="4">
        <v>1.56</v>
      </c>
      <c r="C158" s="42">
        <f t="shared" si="2"/>
        <v>6.71</v>
      </c>
    </row>
    <row r="159" spans="2:3" x14ac:dyDescent="0.25">
      <c r="B159" s="4">
        <v>1.57</v>
      </c>
      <c r="C159" s="42">
        <f t="shared" si="2"/>
        <v>6.6824999999999992</v>
      </c>
    </row>
    <row r="160" spans="2:3" x14ac:dyDescent="0.25">
      <c r="B160" s="4">
        <v>1.58</v>
      </c>
      <c r="C160" s="42">
        <f t="shared" si="2"/>
        <v>6.6549999999999994</v>
      </c>
    </row>
    <row r="161" spans="2:3" x14ac:dyDescent="0.25">
      <c r="B161" s="4">
        <v>1.59</v>
      </c>
      <c r="C161" s="42">
        <f t="shared" si="2"/>
        <v>6.6275000000000004</v>
      </c>
    </row>
    <row r="162" spans="2:3" x14ac:dyDescent="0.25">
      <c r="B162" s="4">
        <v>1.6</v>
      </c>
      <c r="C162" s="42">
        <f t="shared" si="2"/>
        <v>6.6</v>
      </c>
    </row>
    <row r="163" spans="2:3" x14ac:dyDescent="0.25">
      <c r="B163" s="4">
        <v>1.61</v>
      </c>
      <c r="C163" s="42">
        <f t="shared" si="2"/>
        <v>6.5724999999999989</v>
      </c>
    </row>
    <row r="164" spans="2:3" x14ac:dyDescent="0.25">
      <c r="B164" s="4">
        <v>1.62</v>
      </c>
      <c r="C164" s="42">
        <f t="shared" si="2"/>
        <v>6.5449999999999999</v>
      </c>
    </row>
    <row r="165" spans="2:3" x14ac:dyDescent="0.25">
      <c r="B165" s="4">
        <v>1.63</v>
      </c>
      <c r="C165" s="42">
        <f t="shared" si="2"/>
        <v>6.5175000000000001</v>
      </c>
    </row>
    <row r="166" spans="2:3" x14ac:dyDescent="0.25">
      <c r="B166" s="4">
        <v>1.64</v>
      </c>
      <c r="C166" s="42">
        <f t="shared" si="2"/>
        <v>6.4900000000000011</v>
      </c>
    </row>
    <row r="167" spans="2:3" x14ac:dyDescent="0.25">
      <c r="B167" s="4">
        <v>1.65</v>
      </c>
      <c r="C167" s="42">
        <f t="shared" si="2"/>
        <v>6.4625000000000004</v>
      </c>
    </row>
    <row r="168" spans="2:3" x14ac:dyDescent="0.25">
      <c r="B168" s="4">
        <v>1.66</v>
      </c>
      <c r="C168" s="42">
        <f t="shared" si="2"/>
        <v>6.4349999999999996</v>
      </c>
    </row>
    <row r="169" spans="2:3" x14ac:dyDescent="0.25">
      <c r="B169" s="4">
        <v>1.67</v>
      </c>
      <c r="C169" s="42">
        <f t="shared" si="2"/>
        <v>6.4075000000000006</v>
      </c>
    </row>
    <row r="170" spans="2:3" x14ac:dyDescent="0.25">
      <c r="B170" s="4">
        <v>1.68</v>
      </c>
      <c r="C170" s="42">
        <f t="shared" si="2"/>
        <v>6.3800000000000008</v>
      </c>
    </row>
    <row r="171" spans="2:3" x14ac:dyDescent="0.25">
      <c r="B171" s="4">
        <v>1.69</v>
      </c>
      <c r="C171" s="42">
        <f t="shared" si="2"/>
        <v>6.3525</v>
      </c>
    </row>
    <row r="172" spans="2:3" x14ac:dyDescent="0.25">
      <c r="B172" s="4">
        <v>1.7</v>
      </c>
      <c r="C172" s="42">
        <f t="shared" si="2"/>
        <v>6.3249999999999993</v>
      </c>
    </row>
    <row r="173" spans="2:3" x14ac:dyDescent="0.25">
      <c r="B173" s="4">
        <v>1.71</v>
      </c>
      <c r="C173" s="42">
        <f t="shared" si="2"/>
        <v>6.2975000000000003</v>
      </c>
    </row>
    <row r="174" spans="2:3" x14ac:dyDescent="0.25">
      <c r="B174" s="4">
        <v>1.72</v>
      </c>
      <c r="C174" s="42">
        <f t="shared" si="2"/>
        <v>6.2700000000000005</v>
      </c>
    </row>
    <row r="175" spans="2:3" x14ac:dyDescent="0.25">
      <c r="B175" s="4">
        <v>1.73</v>
      </c>
      <c r="C175" s="42">
        <f t="shared" si="2"/>
        <v>6.2424999999999997</v>
      </c>
    </row>
    <row r="176" spans="2:3" x14ac:dyDescent="0.25">
      <c r="B176" s="4">
        <v>1.74</v>
      </c>
      <c r="C176" s="42">
        <f t="shared" si="2"/>
        <v>6.2149999999999999</v>
      </c>
    </row>
    <row r="177" spans="2:3" x14ac:dyDescent="0.25">
      <c r="B177" s="4">
        <v>1.75</v>
      </c>
      <c r="C177" s="42">
        <f t="shared" si="2"/>
        <v>6.1875</v>
      </c>
    </row>
    <row r="178" spans="2:3" x14ac:dyDescent="0.25">
      <c r="B178" s="4">
        <v>1.76</v>
      </c>
      <c r="C178" s="42">
        <f t="shared" si="2"/>
        <v>6.16</v>
      </c>
    </row>
    <row r="179" spans="2:3" x14ac:dyDescent="0.25">
      <c r="B179" s="4">
        <v>1.77</v>
      </c>
      <c r="C179" s="42">
        <f t="shared" si="2"/>
        <v>6.1325000000000003</v>
      </c>
    </row>
    <row r="180" spans="2:3" x14ac:dyDescent="0.25">
      <c r="B180" s="4">
        <v>1.78</v>
      </c>
      <c r="C180" s="42">
        <f t="shared" si="2"/>
        <v>6.1049999999999995</v>
      </c>
    </row>
    <row r="181" spans="2:3" x14ac:dyDescent="0.25">
      <c r="B181" s="4">
        <v>1.79</v>
      </c>
      <c r="C181" s="42">
        <f t="shared" si="2"/>
        <v>6.0774999999999997</v>
      </c>
    </row>
    <row r="182" spans="2:3" x14ac:dyDescent="0.25">
      <c r="B182" s="4">
        <v>1.8</v>
      </c>
      <c r="C182" s="42">
        <f t="shared" si="2"/>
        <v>6.0500000000000007</v>
      </c>
    </row>
    <row r="183" spans="2:3" x14ac:dyDescent="0.25">
      <c r="B183" s="4">
        <v>1.81</v>
      </c>
      <c r="C183" s="42">
        <f t="shared" si="2"/>
        <v>6.0225</v>
      </c>
    </row>
    <row r="184" spans="2:3" x14ac:dyDescent="0.25">
      <c r="B184" s="4">
        <v>1.82</v>
      </c>
      <c r="C184" s="42">
        <f t="shared" si="2"/>
        <v>5.9949999999999992</v>
      </c>
    </row>
    <row r="185" spans="2:3" x14ac:dyDescent="0.25">
      <c r="B185" s="4">
        <v>1.83</v>
      </c>
      <c r="C185" s="42">
        <f t="shared" si="2"/>
        <v>5.9674999999999994</v>
      </c>
    </row>
    <row r="186" spans="2:3" x14ac:dyDescent="0.25">
      <c r="B186" s="4">
        <v>1.84</v>
      </c>
      <c r="C186" s="42">
        <f t="shared" si="2"/>
        <v>5.94</v>
      </c>
    </row>
    <row r="187" spans="2:3" x14ac:dyDescent="0.25">
      <c r="B187" s="4">
        <v>1.85</v>
      </c>
      <c r="C187" s="42">
        <f t="shared" si="2"/>
        <v>5.9124999999999996</v>
      </c>
    </row>
    <row r="188" spans="2:3" x14ac:dyDescent="0.25">
      <c r="B188" s="4">
        <v>1.86</v>
      </c>
      <c r="C188" s="42">
        <f t="shared" si="2"/>
        <v>5.8849999999999989</v>
      </c>
    </row>
    <row r="189" spans="2:3" x14ac:dyDescent="0.25">
      <c r="B189" s="4">
        <v>1.87</v>
      </c>
      <c r="C189" s="42">
        <f t="shared" si="2"/>
        <v>5.8574999999999999</v>
      </c>
    </row>
    <row r="190" spans="2:3" x14ac:dyDescent="0.25">
      <c r="B190" s="4">
        <v>1.88</v>
      </c>
      <c r="C190" s="42">
        <f t="shared" si="2"/>
        <v>5.83</v>
      </c>
    </row>
    <row r="191" spans="2:3" x14ac:dyDescent="0.25">
      <c r="B191" s="4">
        <v>1.89</v>
      </c>
      <c r="C191" s="42">
        <f t="shared" si="2"/>
        <v>5.8025000000000011</v>
      </c>
    </row>
    <row r="192" spans="2:3" x14ac:dyDescent="0.25">
      <c r="B192" s="4">
        <v>1.9</v>
      </c>
      <c r="C192" s="42">
        <f t="shared" si="2"/>
        <v>5.7750000000000004</v>
      </c>
    </row>
    <row r="193" spans="2:3" x14ac:dyDescent="0.25">
      <c r="B193" s="4">
        <v>1.91</v>
      </c>
      <c r="C193" s="42">
        <f t="shared" si="2"/>
        <v>5.7474999999999996</v>
      </c>
    </row>
    <row r="194" spans="2:3" x14ac:dyDescent="0.25">
      <c r="B194" s="4">
        <v>1.92</v>
      </c>
      <c r="C194" s="42">
        <f t="shared" si="2"/>
        <v>5.7200000000000006</v>
      </c>
    </row>
    <row r="195" spans="2:3" x14ac:dyDescent="0.25">
      <c r="B195" s="4">
        <v>1.93</v>
      </c>
      <c r="C195" s="42">
        <f t="shared" si="2"/>
        <v>5.6925000000000008</v>
      </c>
    </row>
    <row r="196" spans="2:3" x14ac:dyDescent="0.25">
      <c r="B196" s="4">
        <v>1.94</v>
      </c>
      <c r="C196" s="42">
        <f t="shared" ref="C196:C259" si="3">11*(1-(B196/2*0.5))</f>
        <v>5.665</v>
      </c>
    </row>
    <row r="197" spans="2:3" x14ac:dyDescent="0.25">
      <c r="B197" s="4">
        <v>1.95</v>
      </c>
      <c r="C197" s="42">
        <f t="shared" si="3"/>
        <v>5.6374999999999993</v>
      </c>
    </row>
    <row r="198" spans="2:3" x14ac:dyDescent="0.25">
      <c r="B198" s="4">
        <v>1.96</v>
      </c>
      <c r="C198" s="42">
        <f t="shared" si="3"/>
        <v>5.61</v>
      </c>
    </row>
    <row r="199" spans="2:3" x14ac:dyDescent="0.25">
      <c r="B199" s="4">
        <v>1.97</v>
      </c>
      <c r="C199" s="42">
        <f t="shared" si="3"/>
        <v>5.5825000000000005</v>
      </c>
    </row>
    <row r="200" spans="2:3" x14ac:dyDescent="0.25">
      <c r="B200" s="4">
        <v>1.98</v>
      </c>
      <c r="C200" s="42">
        <f t="shared" si="3"/>
        <v>5.5549999999999997</v>
      </c>
    </row>
    <row r="201" spans="2:3" x14ac:dyDescent="0.25">
      <c r="B201" s="4">
        <v>1.99</v>
      </c>
      <c r="C201" s="42">
        <f t="shared" si="3"/>
        <v>5.5274999999999999</v>
      </c>
    </row>
    <row r="202" spans="2:3" x14ac:dyDescent="0.25">
      <c r="B202" s="4">
        <v>2</v>
      </c>
      <c r="C202" s="42">
        <f t="shared" si="3"/>
        <v>5.5</v>
      </c>
    </row>
    <row r="203" spans="2:3" x14ac:dyDescent="0.25">
      <c r="B203" s="4">
        <v>2.0099999999999998</v>
      </c>
      <c r="C203" s="42">
        <f t="shared" si="3"/>
        <v>5.4725000000000001</v>
      </c>
    </row>
    <row r="204" spans="2:3" x14ac:dyDescent="0.25">
      <c r="B204" s="4">
        <v>2.02</v>
      </c>
      <c r="C204" s="42">
        <f t="shared" si="3"/>
        <v>5.4450000000000003</v>
      </c>
    </row>
    <row r="205" spans="2:3" x14ac:dyDescent="0.25">
      <c r="B205" s="4">
        <v>2.0299999999999998</v>
      </c>
      <c r="C205" s="42">
        <f t="shared" si="3"/>
        <v>5.4175000000000004</v>
      </c>
    </row>
    <row r="206" spans="2:3" x14ac:dyDescent="0.25">
      <c r="B206" s="4">
        <v>2.04</v>
      </c>
      <c r="C206" s="42">
        <f t="shared" si="3"/>
        <v>5.39</v>
      </c>
    </row>
    <row r="207" spans="2:3" x14ac:dyDescent="0.25">
      <c r="B207" s="4">
        <v>2.0499999999999998</v>
      </c>
      <c r="C207" s="42">
        <f t="shared" si="3"/>
        <v>5.3625000000000007</v>
      </c>
    </row>
    <row r="208" spans="2:3" x14ac:dyDescent="0.25">
      <c r="B208" s="4">
        <v>2.06</v>
      </c>
      <c r="C208" s="42">
        <f t="shared" si="3"/>
        <v>5.335</v>
      </c>
    </row>
    <row r="209" spans="2:3" x14ac:dyDescent="0.25">
      <c r="B209" s="4">
        <v>2.0699999999999998</v>
      </c>
      <c r="C209" s="42">
        <f t="shared" si="3"/>
        <v>5.3075000000000001</v>
      </c>
    </row>
    <row r="210" spans="2:3" x14ac:dyDescent="0.25">
      <c r="B210" s="4">
        <v>2.08</v>
      </c>
      <c r="C210" s="42">
        <f t="shared" si="3"/>
        <v>5.2799999999999994</v>
      </c>
    </row>
    <row r="211" spans="2:3" x14ac:dyDescent="0.25">
      <c r="B211" s="4">
        <v>2.09</v>
      </c>
      <c r="C211" s="42">
        <f t="shared" si="3"/>
        <v>5.2525000000000004</v>
      </c>
    </row>
    <row r="212" spans="2:3" x14ac:dyDescent="0.25">
      <c r="B212" s="4">
        <v>2.1</v>
      </c>
      <c r="C212" s="42">
        <f t="shared" si="3"/>
        <v>5.2249999999999996</v>
      </c>
    </row>
    <row r="213" spans="2:3" x14ac:dyDescent="0.25">
      <c r="B213" s="4">
        <v>2.11</v>
      </c>
      <c r="C213" s="42">
        <f t="shared" si="3"/>
        <v>5.1975000000000007</v>
      </c>
    </row>
    <row r="214" spans="2:3" x14ac:dyDescent="0.25">
      <c r="B214" s="4">
        <v>2.12</v>
      </c>
      <c r="C214" s="42">
        <f t="shared" si="3"/>
        <v>5.17</v>
      </c>
    </row>
    <row r="215" spans="2:3" x14ac:dyDescent="0.25">
      <c r="B215" s="4">
        <v>2.13</v>
      </c>
      <c r="C215" s="42">
        <f t="shared" si="3"/>
        <v>5.1425000000000001</v>
      </c>
    </row>
    <row r="216" spans="2:3" x14ac:dyDescent="0.25">
      <c r="B216" s="4">
        <v>2.14</v>
      </c>
      <c r="C216" s="42">
        <f t="shared" si="3"/>
        <v>5.1149999999999993</v>
      </c>
    </row>
    <row r="217" spans="2:3" x14ac:dyDescent="0.25">
      <c r="B217" s="4">
        <v>2.15</v>
      </c>
      <c r="C217" s="42">
        <f t="shared" si="3"/>
        <v>5.0875000000000004</v>
      </c>
    </row>
    <row r="218" spans="2:3" x14ac:dyDescent="0.25">
      <c r="B218" s="4">
        <v>2.16</v>
      </c>
      <c r="C218" s="42">
        <f t="shared" si="3"/>
        <v>5.0599999999999996</v>
      </c>
    </row>
    <row r="219" spans="2:3" x14ac:dyDescent="0.25">
      <c r="B219" s="4">
        <v>2.17</v>
      </c>
      <c r="C219" s="42">
        <f t="shared" si="3"/>
        <v>5.0325000000000006</v>
      </c>
    </row>
    <row r="220" spans="2:3" x14ac:dyDescent="0.25">
      <c r="B220" s="4">
        <v>2.1800000000000002</v>
      </c>
      <c r="C220" s="42">
        <f t="shared" si="3"/>
        <v>5.0049999999999999</v>
      </c>
    </row>
    <row r="221" spans="2:3" x14ac:dyDescent="0.25">
      <c r="B221" s="4">
        <v>2.19</v>
      </c>
      <c r="C221" s="42">
        <f t="shared" si="3"/>
        <v>4.9775</v>
      </c>
    </row>
    <row r="222" spans="2:3" x14ac:dyDescent="0.25">
      <c r="B222" s="4">
        <v>2.2000000000000002</v>
      </c>
      <c r="C222" s="42">
        <f t="shared" si="3"/>
        <v>4.9499999999999993</v>
      </c>
    </row>
    <row r="223" spans="2:3" x14ac:dyDescent="0.25">
      <c r="B223" s="4">
        <v>2.21</v>
      </c>
      <c r="C223" s="42">
        <f t="shared" si="3"/>
        <v>4.9225000000000003</v>
      </c>
    </row>
    <row r="224" spans="2:3" x14ac:dyDescent="0.25">
      <c r="B224" s="4">
        <v>2.2200000000000002</v>
      </c>
      <c r="C224" s="42">
        <f t="shared" si="3"/>
        <v>4.8949999999999996</v>
      </c>
    </row>
    <row r="225" spans="2:3" x14ac:dyDescent="0.25">
      <c r="B225" s="4">
        <v>2.23</v>
      </c>
      <c r="C225" s="42">
        <f t="shared" si="3"/>
        <v>4.8674999999999997</v>
      </c>
    </row>
    <row r="226" spans="2:3" x14ac:dyDescent="0.25">
      <c r="B226" s="4">
        <v>2.2400000000000002</v>
      </c>
      <c r="C226" s="42">
        <f t="shared" si="3"/>
        <v>4.84</v>
      </c>
    </row>
    <row r="227" spans="2:3" x14ac:dyDescent="0.25">
      <c r="B227" s="4">
        <v>2.25</v>
      </c>
      <c r="C227" s="42">
        <f t="shared" si="3"/>
        <v>4.8125</v>
      </c>
    </row>
    <row r="228" spans="2:3" x14ac:dyDescent="0.25">
      <c r="B228" s="4">
        <v>2.2599999999999998</v>
      </c>
      <c r="C228" s="42">
        <f t="shared" si="3"/>
        <v>4.7850000000000001</v>
      </c>
    </row>
    <row r="229" spans="2:3" x14ac:dyDescent="0.25">
      <c r="B229" s="4">
        <v>2.27</v>
      </c>
      <c r="C229" s="42">
        <f t="shared" si="3"/>
        <v>4.7575000000000003</v>
      </c>
    </row>
    <row r="230" spans="2:3" x14ac:dyDescent="0.25">
      <c r="B230" s="4">
        <v>2.2799999999999998</v>
      </c>
      <c r="C230" s="42">
        <f t="shared" si="3"/>
        <v>4.7300000000000004</v>
      </c>
    </row>
    <row r="231" spans="2:3" x14ac:dyDescent="0.25">
      <c r="B231" s="4">
        <v>2.29</v>
      </c>
      <c r="C231" s="42">
        <f t="shared" si="3"/>
        <v>4.7024999999999997</v>
      </c>
    </row>
    <row r="232" spans="2:3" x14ac:dyDescent="0.25">
      <c r="B232" s="4">
        <v>2.2999999999999998</v>
      </c>
      <c r="C232" s="42">
        <f t="shared" si="3"/>
        <v>4.6750000000000007</v>
      </c>
    </row>
    <row r="233" spans="2:3" x14ac:dyDescent="0.25">
      <c r="B233" s="4">
        <v>2.31</v>
      </c>
      <c r="C233" s="42">
        <f t="shared" si="3"/>
        <v>4.6475</v>
      </c>
    </row>
    <row r="234" spans="2:3" x14ac:dyDescent="0.25">
      <c r="B234" s="4">
        <v>2.3199999999999998</v>
      </c>
      <c r="C234" s="42">
        <f t="shared" si="3"/>
        <v>4.62</v>
      </c>
    </row>
    <row r="235" spans="2:3" x14ac:dyDescent="0.25">
      <c r="B235" s="4">
        <v>2.33</v>
      </c>
      <c r="C235" s="42">
        <f t="shared" si="3"/>
        <v>4.5924999999999994</v>
      </c>
    </row>
    <row r="236" spans="2:3" x14ac:dyDescent="0.25">
      <c r="B236" s="4">
        <v>2.34</v>
      </c>
      <c r="C236" s="42">
        <f t="shared" si="3"/>
        <v>4.5650000000000004</v>
      </c>
    </row>
    <row r="237" spans="2:3" x14ac:dyDescent="0.25">
      <c r="B237" s="4">
        <v>2.35</v>
      </c>
      <c r="C237" s="42">
        <f t="shared" si="3"/>
        <v>4.5374999999999996</v>
      </c>
    </row>
    <row r="238" spans="2:3" x14ac:dyDescent="0.25">
      <c r="B238" s="4">
        <v>2.36</v>
      </c>
      <c r="C238" s="42">
        <f t="shared" si="3"/>
        <v>4.5100000000000007</v>
      </c>
    </row>
    <row r="239" spans="2:3" x14ac:dyDescent="0.25">
      <c r="B239" s="4">
        <v>2.37</v>
      </c>
      <c r="C239" s="42">
        <f t="shared" si="3"/>
        <v>4.4824999999999999</v>
      </c>
    </row>
    <row r="240" spans="2:3" x14ac:dyDescent="0.25">
      <c r="B240" s="4">
        <v>2.38</v>
      </c>
      <c r="C240" s="42">
        <f t="shared" si="3"/>
        <v>4.4550000000000001</v>
      </c>
    </row>
    <row r="241" spans="2:3" x14ac:dyDescent="0.25">
      <c r="B241" s="4">
        <v>2.39</v>
      </c>
      <c r="C241" s="42">
        <f t="shared" si="3"/>
        <v>4.4274999999999993</v>
      </c>
    </row>
    <row r="242" spans="2:3" x14ac:dyDescent="0.25">
      <c r="B242" s="4">
        <v>2.4</v>
      </c>
      <c r="C242" s="42">
        <f t="shared" si="3"/>
        <v>4.4000000000000004</v>
      </c>
    </row>
    <row r="243" spans="2:3" x14ac:dyDescent="0.25">
      <c r="B243" s="4">
        <v>2.41</v>
      </c>
      <c r="C243" s="42">
        <f t="shared" si="3"/>
        <v>4.3724999999999996</v>
      </c>
    </row>
    <row r="244" spans="2:3" x14ac:dyDescent="0.25">
      <c r="B244" s="4">
        <v>2.42</v>
      </c>
      <c r="C244" s="42">
        <f t="shared" si="3"/>
        <v>4.3450000000000006</v>
      </c>
    </row>
    <row r="245" spans="2:3" x14ac:dyDescent="0.25">
      <c r="B245" s="4">
        <v>2.4300000000000002</v>
      </c>
      <c r="C245" s="42">
        <f t="shared" si="3"/>
        <v>4.3174999999999999</v>
      </c>
    </row>
    <row r="246" spans="2:3" x14ac:dyDescent="0.25">
      <c r="B246" s="4">
        <v>2.44</v>
      </c>
      <c r="C246" s="42">
        <f t="shared" si="3"/>
        <v>4.29</v>
      </c>
    </row>
    <row r="247" spans="2:3" x14ac:dyDescent="0.25">
      <c r="B247" s="4">
        <v>2.4500000000000002</v>
      </c>
      <c r="C247" s="42">
        <f t="shared" si="3"/>
        <v>4.2624999999999993</v>
      </c>
    </row>
    <row r="248" spans="2:3" x14ac:dyDescent="0.25">
      <c r="B248" s="4">
        <v>2.46</v>
      </c>
      <c r="C248" s="42">
        <f t="shared" si="3"/>
        <v>4.2350000000000003</v>
      </c>
    </row>
    <row r="249" spans="2:3" x14ac:dyDescent="0.25">
      <c r="B249" s="4">
        <v>2.4700000000000002</v>
      </c>
      <c r="C249" s="42">
        <f t="shared" si="3"/>
        <v>4.2074999999999996</v>
      </c>
    </row>
    <row r="250" spans="2:3" x14ac:dyDescent="0.25">
      <c r="B250" s="4">
        <v>2.48</v>
      </c>
      <c r="C250" s="42">
        <f t="shared" si="3"/>
        <v>4.18</v>
      </c>
    </row>
    <row r="251" spans="2:3" x14ac:dyDescent="0.25">
      <c r="B251" s="4">
        <v>2.4900000000000002</v>
      </c>
      <c r="C251" s="42">
        <f t="shared" si="3"/>
        <v>4.1524999999999999</v>
      </c>
    </row>
    <row r="252" spans="2:3" x14ac:dyDescent="0.25">
      <c r="B252" s="4">
        <v>2.5</v>
      </c>
      <c r="C252" s="42">
        <f t="shared" si="3"/>
        <v>4.125</v>
      </c>
    </row>
    <row r="253" spans="2:3" x14ac:dyDescent="0.25">
      <c r="B253" s="4">
        <v>2.5099999999999998</v>
      </c>
      <c r="C253" s="42">
        <f t="shared" si="3"/>
        <v>4.0975000000000001</v>
      </c>
    </row>
    <row r="254" spans="2:3" x14ac:dyDescent="0.25">
      <c r="B254" s="4">
        <v>2.52</v>
      </c>
      <c r="C254" s="42">
        <f t="shared" si="3"/>
        <v>4.07</v>
      </c>
    </row>
    <row r="255" spans="2:3" x14ac:dyDescent="0.25">
      <c r="B255" s="4">
        <v>2.5299999999999998</v>
      </c>
      <c r="C255" s="42">
        <f t="shared" si="3"/>
        <v>4.0425000000000004</v>
      </c>
    </row>
    <row r="256" spans="2:3" x14ac:dyDescent="0.25">
      <c r="B256" s="4">
        <v>2.54</v>
      </c>
      <c r="C256" s="42">
        <f t="shared" si="3"/>
        <v>4.0149999999999997</v>
      </c>
    </row>
    <row r="257" spans="2:3" x14ac:dyDescent="0.25">
      <c r="B257" s="4">
        <v>2.5499999999999998</v>
      </c>
      <c r="C257" s="42">
        <f t="shared" si="3"/>
        <v>3.9875000000000007</v>
      </c>
    </row>
    <row r="258" spans="2:3" x14ac:dyDescent="0.25">
      <c r="B258" s="4">
        <v>2.56</v>
      </c>
      <c r="C258" s="42">
        <f t="shared" si="3"/>
        <v>3.96</v>
      </c>
    </row>
    <row r="259" spans="2:3" x14ac:dyDescent="0.25">
      <c r="B259" s="4">
        <v>2.57</v>
      </c>
      <c r="C259" s="42">
        <f t="shared" si="3"/>
        <v>3.9325000000000006</v>
      </c>
    </row>
    <row r="260" spans="2:3" x14ac:dyDescent="0.25">
      <c r="B260" s="4">
        <v>2.58</v>
      </c>
      <c r="C260" s="42">
        <f t="shared" ref="C260:C323" si="4">11*(1-(B260/2*0.5))</f>
        <v>3.9049999999999998</v>
      </c>
    </row>
    <row r="261" spans="2:3" x14ac:dyDescent="0.25">
      <c r="B261" s="4">
        <v>2.59</v>
      </c>
      <c r="C261" s="42">
        <f t="shared" si="4"/>
        <v>3.8775000000000004</v>
      </c>
    </row>
    <row r="262" spans="2:3" x14ac:dyDescent="0.25">
      <c r="B262" s="4">
        <v>2.6</v>
      </c>
      <c r="C262" s="42">
        <f t="shared" si="4"/>
        <v>3.8499999999999996</v>
      </c>
    </row>
    <row r="263" spans="2:3" x14ac:dyDescent="0.25">
      <c r="B263" s="4">
        <v>2.61</v>
      </c>
      <c r="C263" s="42">
        <f t="shared" si="4"/>
        <v>3.8225000000000002</v>
      </c>
    </row>
    <row r="264" spans="2:3" x14ac:dyDescent="0.25">
      <c r="B264" s="4">
        <v>2.62</v>
      </c>
      <c r="C264" s="42">
        <f t="shared" si="4"/>
        <v>3.7949999999999999</v>
      </c>
    </row>
    <row r="265" spans="2:3" x14ac:dyDescent="0.25">
      <c r="B265" s="4">
        <v>2.63</v>
      </c>
      <c r="C265" s="42">
        <f t="shared" si="4"/>
        <v>3.7675000000000001</v>
      </c>
    </row>
    <row r="266" spans="2:3" x14ac:dyDescent="0.25">
      <c r="B266" s="4">
        <v>2.64</v>
      </c>
      <c r="C266" s="42">
        <f t="shared" si="4"/>
        <v>3.7399999999999998</v>
      </c>
    </row>
    <row r="267" spans="2:3" x14ac:dyDescent="0.25">
      <c r="B267" s="4">
        <v>2.65</v>
      </c>
      <c r="C267" s="42">
        <f t="shared" si="4"/>
        <v>3.7125000000000004</v>
      </c>
    </row>
    <row r="268" spans="2:3" x14ac:dyDescent="0.25">
      <c r="B268" s="4">
        <v>2.66</v>
      </c>
      <c r="C268" s="42">
        <f t="shared" si="4"/>
        <v>3.6849999999999996</v>
      </c>
    </row>
    <row r="269" spans="2:3" x14ac:dyDescent="0.25">
      <c r="B269" s="4">
        <v>2.67</v>
      </c>
      <c r="C269" s="42">
        <f t="shared" si="4"/>
        <v>3.6575000000000002</v>
      </c>
    </row>
    <row r="270" spans="2:3" x14ac:dyDescent="0.25">
      <c r="B270" s="4">
        <v>2.68</v>
      </c>
      <c r="C270" s="42">
        <f t="shared" si="4"/>
        <v>3.6299999999999994</v>
      </c>
    </row>
    <row r="271" spans="2:3" x14ac:dyDescent="0.25">
      <c r="B271" s="4">
        <v>2.69</v>
      </c>
      <c r="C271" s="42">
        <f t="shared" si="4"/>
        <v>3.6025</v>
      </c>
    </row>
    <row r="272" spans="2:3" x14ac:dyDescent="0.25">
      <c r="B272" s="4">
        <v>2.7</v>
      </c>
      <c r="C272" s="42">
        <f t="shared" si="4"/>
        <v>3.5749999999999993</v>
      </c>
    </row>
    <row r="273" spans="2:3" x14ac:dyDescent="0.25">
      <c r="B273" s="4">
        <v>2.71</v>
      </c>
      <c r="C273" s="42">
        <f t="shared" si="4"/>
        <v>3.5475000000000003</v>
      </c>
    </row>
    <row r="274" spans="2:3" x14ac:dyDescent="0.25">
      <c r="B274" s="4">
        <v>2.72</v>
      </c>
      <c r="C274" s="42">
        <f t="shared" si="4"/>
        <v>3.5199999999999996</v>
      </c>
    </row>
    <row r="275" spans="2:3" x14ac:dyDescent="0.25">
      <c r="B275" s="4">
        <v>2.73</v>
      </c>
      <c r="C275" s="42">
        <f t="shared" si="4"/>
        <v>3.4925000000000002</v>
      </c>
    </row>
    <row r="276" spans="2:3" x14ac:dyDescent="0.25">
      <c r="B276" s="4">
        <v>2.74</v>
      </c>
      <c r="C276" s="42">
        <f t="shared" si="4"/>
        <v>3.4649999999999994</v>
      </c>
    </row>
    <row r="277" spans="2:3" x14ac:dyDescent="0.25">
      <c r="B277" s="4">
        <v>2.75</v>
      </c>
      <c r="C277" s="42">
        <f t="shared" si="4"/>
        <v>3.4375</v>
      </c>
    </row>
    <row r="278" spans="2:3" x14ac:dyDescent="0.25">
      <c r="B278" s="4">
        <v>2.76</v>
      </c>
      <c r="C278" s="42">
        <f t="shared" si="4"/>
        <v>3.4100000000000006</v>
      </c>
    </row>
    <row r="279" spans="2:3" x14ac:dyDescent="0.25">
      <c r="B279" s="4">
        <v>2.77</v>
      </c>
      <c r="C279" s="42">
        <f t="shared" si="4"/>
        <v>3.3824999999999998</v>
      </c>
    </row>
    <row r="280" spans="2:3" x14ac:dyDescent="0.25">
      <c r="B280" s="4">
        <v>2.78</v>
      </c>
      <c r="C280" s="42">
        <f t="shared" si="4"/>
        <v>3.3550000000000004</v>
      </c>
    </row>
    <row r="281" spans="2:3" x14ac:dyDescent="0.25">
      <c r="B281" s="4">
        <v>2.79</v>
      </c>
      <c r="C281" s="42">
        <f t="shared" si="4"/>
        <v>3.3274999999999997</v>
      </c>
    </row>
    <row r="282" spans="2:3" x14ac:dyDescent="0.25">
      <c r="B282" s="4">
        <v>2.8</v>
      </c>
      <c r="C282" s="42">
        <f t="shared" si="4"/>
        <v>3.3000000000000007</v>
      </c>
    </row>
    <row r="283" spans="2:3" x14ac:dyDescent="0.25">
      <c r="B283" s="4">
        <v>2.81</v>
      </c>
      <c r="C283" s="42">
        <f t="shared" si="4"/>
        <v>3.2725</v>
      </c>
    </row>
    <row r="284" spans="2:3" x14ac:dyDescent="0.25">
      <c r="B284" s="4">
        <v>2.82</v>
      </c>
      <c r="C284" s="42">
        <f t="shared" si="4"/>
        <v>3.2450000000000006</v>
      </c>
    </row>
    <row r="285" spans="2:3" x14ac:dyDescent="0.25">
      <c r="B285" s="4">
        <v>2.83</v>
      </c>
      <c r="C285" s="42">
        <f t="shared" si="4"/>
        <v>3.2174999999999998</v>
      </c>
    </row>
    <row r="286" spans="2:3" x14ac:dyDescent="0.25">
      <c r="B286" s="4">
        <v>2.84</v>
      </c>
      <c r="C286" s="42">
        <f t="shared" si="4"/>
        <v>3.1900000000000004</v>
      </c>
    </row>
    <row r="287" spans="2:3" x14ac:dyDescent="0.25">
      <c r="B287" s="4">
        <v>2.85</v>
      </c>
      <c r="C287" s="42">
        <f t="shared" si="4"/>
        <v>3.1624999999999996</v>
      </c>
    </row>
    <row r="288" spans="2:3" x14ac:dyDescent="0.25">
      <c r="B288" s="4">
        <v>2.86</v>
      </c>
      <c r="C288" s="42">
        <f t="shared" si="4"/>
        <v>3.1350000000000002</v>
      </c>
    </row>
    <row r="289" spans="2:3" x14ac:dyDescent="0.25">
      <c r="B289" s="4">
        <v>2.87</v>
      </c>
      <c r="C289" s="42">
        <f t="shared" si="4"/>
        <v>3.1074999999999999</v>
      </c>
    </row>
    <row r="290" spans="2:3" x14ac:dyDescent="0.25">
      <c r="B290" s="4">
        <v>2.88</v>
      </c>
      <c r="C290" s="42">
        <f t="shared" si="4"/>
        <v>3.08</v>
      </c>
    </row>
    <row r="291" spans="2:3" x14ac:dyDescent="0.25">
      <c r="B291" s="4">
        <v>2.89</v>
      </c>
      <c r="C291" s="42">
        <f t="shared" si="4"/>
        <v>3.0524999999999998</v>
      </c>
    </row>
    <row r="292" spans="2:3" x14ac:dyDescent="0.25">
      <c r="B292" s="4">
        <v>2.9</v>
      </c>
      <c r="C292" s="42">
        <f t="shared" si="4"/>
        <v>3.0250000000000004</v>
      </c>
    </row>
    <row r="293" spans="2:3" x14ac:dyDescent="0.25">
      <c r="B293" s="4">
        <v>2.91</v>
      </c>
      <c r="C293" s="42">
        <f t="shared" si="4"/>
        <v>2.9974999999999996</v>
      </c>
    </row>
    <row r="294" spans="2:3" x14ac:dyDescent="0.25">
      <c r="B294" s="4">
        <v>2.92</v>
      </c>
      <c r="C294" s="42">
        <f t="shared" si="4"/>
        <v>2.97</v>
      </c>
    </row>
    <row r="295" spans="2:3" x14ac:dyDescent="0.25">
      <c r="B295" s="4">
        <v>2.93</v>
      </c>
      <c r="C295" s="42">
        <f t="shared" si="4"/>
        <v>2.9424999999999994</v>
      </c>
    </row>
    <row r="296" spans="2:3" x14ac:dyDescent="0.25">
      <c r="B296" s="4">
        <v>2.94</v>
      </c>
      <c r="C296" s="42">
        <f t="shared" si="4"/>
        <v>2.915</v>
      </c>
    </row>
    <row r="297" spans="2:3" x14ac:dyDescent="0.25">
      <c r="B297" s="4">
        <v>2.95</v>
      </c>
      <c r="C297" s="42">
        <f t="shared" si="4"/>
        <v>2.8874999999999993</v>
      </c>
    </row>
    <row r="298" spans="2:3" x14ac:dyDescent="0.25">
      <c r="B298" s="4">
        <v>2.96</v>
      </c>
      <c r="C298" s="42">
        <f t="shared" si="4"/>
        <v>2.8600000000000003</v>
      </c>
    </row>
    <row r="299" spans="2:3" x14ac:dyDescent="0.25">
      <c r="B299" s="4">
        <v>2.97</v>
      </c>
      <c r="C299" s="42">
        <f t="shared" si="4"/>
        <v>2.8324999999999996</v>
      </c>
    </row>
    <row r="300" spans="2:3" x14ac:dyDescent="0.25">
      <c r="B300" s="4">
        <v>2.98</v>
      </c>
      <c r="C300" s="42">
        <f t="shared" si="4"/>
        <v>2.8050000000000002</v>
      </c>
    </row>
    <row r="301" spans="2:3" x14ac:dyDescent="0.25">
      <c r="B301" s="4">
        <v>2.99</v>
      </c>
      <c r="C301" s="42">
        <f t="shared" si="4"/>
        <v>2.7774999999999994</v>
      </c>
    </row>
    <row r="302" spans="2:3" x14ac:dyDescent="0.25">
      <c r="B302" s="4">
        <v>3</v>
      </c>
      <c r="C302" s="42">
        <f t="shared" si="4"/>
        <v>2.75</v>
      </c>
    </row>
    <row r="303" spans="2:3" x14ac:dyDescent="0.25">
      <c r="B303" s="4">
        <v>3.01</v>
      </c>
      <c r="C303" s="42">
        <f t="shared" si="4"/>
        <v>2.7225000000000006</v>
      </c>
    </row>
    <row r="304" spans="2:3" x14ac:dyDescent="0.25">
      <c r="B304" s="4">
        <v>3.02</v>
      </c>
      <c r="C304" s="42">
        <f t="shared" si="4"/>
        <v>2.6949999999999998</v>
      </c>
    </row>
    <row r="305" spans="2:3" x14ac:dyDescent="0.25">
      <c r="B305" s="4">
        <v>3.03</v>
      </c>
      <c r="C305" s="42">
        <f t="shared" si="4"/>
        <v>2.6675000000000004</v>
      </c>
    </row>
    <row r="306" spans="2:3" x14ac:dyDescent="0.25">
      <c r="B306" s="4">
        <v>3.04</v>
      </c>
      <c r="C306" s="42">
        <f t="shared" si="4"/>
        <v>2.6399999999999997</v>
      </c>
    </row>
    <row r="307" spans="2:3" x14ac:dyDescent="0.25">
      <c r="B307" s="4">
        <v>3.05</v>
      </c>
      <c r="C307" s="42">
        <f t="shared" si="4"/>
        <v>2.6125000000000007</v>
      </c>
    </row>
    <row r="308" spans="2:3" x14ac:dyDescent="0.25">
      <c r="B308" s="4">
        <v>3.06</v>
      </c>
      <c r="C308" s="42">
        <f t="shared" si="4"/>
        <v>2.585</v>
      </c>
    </row>
    <row r="309" spans="2:3" x14ac:dyDescent="0.25">
      <c r="B309" s="4">
        <v>3.07</v>
      </c>
      <c r="C309" s="42">
        <f t="shared" si="4"/>
        <v>2.5575000000000006</v>
      </c>
    </row>
    <row r="310" spans="2:3" x14ac:dyDescent="0.25">
      <c r="B310" s="4">
        <v>3.08</v>
      </c>
      <c r="C310" s="42">
        <f t="shared" si="4"/>
        <v>2.5299999999999998</v>
      </c>
    </row>
    <row r="311" spans="2:3" x14ac:dyDescent="0.25">
      <c r="B311" s="4">
        <v>3.09</v>
      </c>
      <c r="C311" s="42">
        <f t="shared" si="4"/>
        <v>2.5025000000000004</v>
      </c>
    </row>
    <row r="312" spans="2:3" x14ac:dyDescent="0.25">
      <c r="B312" s="4">
        <v>3.1</v>
      </c>
      <c r="C312" s="42">
        <f t="shared" si="4"/>
        <v>2.4749999999999996</v>
      </c>
    </row>
    <row r="313" spans="2:3" x14ac:dyDescent="0.25">
      <c r="B313" s="4">
        <v>3.11</v>
      </c>
      <c r="C313" s="42">
        <f t="shared" si="4"/>
        <v>2.4475000000000002</v>
      </c>
    </row>
    <row r="314" spans="2:3" x14ac:dyDescent="0.25">
      <c r="B314" s="4">
        <v>3.12</v>
      </c>
      <c r="C314" s="42">
        <f t="shared" si="4"/>
        <v>2.42</v>
      </c>
    </row>
    <row r="315" spans="2:3" x14ac:dyDescent="0.25">
      <c r="B315" s="4">
        <v>3.13</v>
      </c>
      <c r="C315" s="42">
        <f t="shared" si="4"/>
        <v>2.3925000000000001</v>
      </c>
    </row>
    <row r="316" spans="2:3" x14ac:dyDescent="0.25">
      <c r="B316" s="4">
        <v>3.14</v>
      </c>
      <c r="C316" s="42">
        <f t="shared" si="4"/>
        <v>2.3649999999999998</v>
      </c>
    </row>
    <row r="317" spans="2:3" x14ac:dyDescent="0.25">
      <c r="B317" s="4">
        <v>3.15</v>
      </c>
      <c r="C317" s="42">
        <f t="shared" si="4"/>
        <v>2.3375000000000004</v>
      </c>
    </row>
    <row r="318" spans="2:3" x14ac:dyDescent="0.25">
      <c r="B318" s="4">
        <v>3.16</v>
      </c>
      <c r="C318" s="42">
        <f t="shared" si="4"/>
        <v>2.3099999999999996</v>
      </c>
    </row>
    <row r="319" spans="2:3" x14ac:dyDescent="0.25">
      <c r="B319" s="4">
        <v>3.17</v>
      </c>
      <c r="C319" s="42">
        <f t="shared" si="4"/>
        <v>2.2825000000000002</v>
      </c>
    </row>
    <row r="320" spans="2:3" x14ac:dyDescent="0.25">
      <c r="B320" s="4">
        <v>3.18</v>
      </c>
      <c r="C320" s="42">
        <f t="shared" si="4"/>
        <v>2.2549999999999994</v>
      </c>
    </row>
    <row r="321" spans="2:3" x14ac:dyDescent="0.25">
      <c r="B321" s="4">
        <v>3.19</v>
      </c>
      <c r="C321" s="42">
        <f t="shared" si="4"/>
        <v>2.2275</v>
      </c>
    </row>
    <row r="322" spans="2:3" x14ac:dyDescent="0.25">
      <c r="B322" s="4">
        <v>3.2</v>
      </c>
      <c r="C322" s="42">
        <f t="shared" si="4"/>
        <v>2.1999999999999993</v>
      </c>
    </row>
    <row r="323" spans="2:3" x14ac:dyDescent="0.25">
      <c r="B323" s="4">
        <v>3.21</v>
      </c>
      <c r="C323" s="42">
        <f t="shared" si="4"/>
        <v>2.1725000000000003</v>
      </c>
    </row>
    <row r="324" spans="2:3" x14ac:dyDescent="0.25">
      <c r="B324" s="4">
        <v>3.22</v>
      </c>
      <c r="C324" s="42">
        <f t="shared" ref="C324:C387" si="5">11*(1-(B324/2*0.5))</f>
        <v>2.1449999999999996</v>
      </c>
    </row>
    <row r="325" spans="2:3" x14ac:dyDescent="0.25">
      <c r="B325" s="4">
        <v>3.23</v>
      </c>
      <c r="C325" s="42">
        <f t="shared" si="5"/>
        <v>2.1175000000000002</v>
      </c>
    </row>
    <row r="326" spans="2:3" x14ac:dyDescent="0.25">
      <c r="B326" s="4">
        <v>3.24</v>
      </c>
      <c r="C326" s="42">
        <f t="shared" si="5"/>
        <v>2.0899999999999994</v>
      </c>
    </row>
    <row r="327" spans="2:3" x14ac:dyDescent="0.25">
      <c r="B327" s="4">
        <v>3.25</v>
      </c>
      <c r="C327" s="42">
        <f t="shared" si="5"/>
        <v>2.0625</v>
      </c>
    </row>
    <row r="328" spans="2:3" x14ac:dyDescent="0.25">
      <c r="B328" s="4">
        <v>3.26</v>
      </c>
      <c r="C328" s="42">
        <f t="shared" si="5"/>
        <v>2.0350000000000006</v>
      </c>
    </row>
    <row r="329" spans="2:3" x14ac:dyDescent="0.25">
      <c r="B329" s="4">
        <v>3.27</v>
      </c>
      <c r="C329" s="42">
        <f t="shared" si="5"/>
        <v>2.0074999999999998</v>
      </c>
    </row>
    <row r="330" spans="2:3" x14ac:dyDescent="0.25">
      <c r="B330" s="4">
        <v>3.28</v>
      </c>
      <c r="C330" s="42">
        <f t="shared" si="5"/>
        <v>1.9800000000000004</v>
      </c>
    </row>
    <row r="331" spans="2:3" x14ac:dyDescent="0.25">
      <c r="B331" s="4">
        <v>3.29</v>
      </c>
      <c r="C331" s="42">
        <f t="shared" si="5"/>
        <v>1.9524999999999999</v>
      </c>
    </row>
    <row r="332" spans="2:3" x14ac:dyDescent="0.25">
      <c r="B332" s="4">
        <v>3.3</v>
      </c>
      <c r="C332" s="42">
        <f t="shared" si="5"/>
        <v>1.9250000000000005</v>
      </c>
    </row>
    <row r="333" spans="2:3" x14ac:dyDescent="0.25">
      <c r="B333" s="4">
        <v>3.31</v>
      </c>
      <c r="C333" s="42">
        <f t="shared" si="5"/>
        <v>1.8975</v>
      </c>
    </row>
    <row r="334" spans="2:3" x14ac:dyDescent="0.25">
      <c r="B334" s="4">
        <v>3.32</v>
      </c>
      <c r="C334" s="42">
        <f t="shared" si="5"/>
        <v>1.8700000000000006</v>
      </c>
    </row>
    <row r="335" spans="2:3" x14ac:dyDescent="0.25">
      <c r="B335" s="4">
        <v>3.33</v>
      </c>
      <c r="C335" s="42">
        <f t="shared" si="5"/>
        <v>1.8424999999999998</v>
      </c>
    </row>
    <row r="336" spans="2:3" x14ac:dyDescent="0.25">
      <c r="B336" s="4">
        <v>3.34</v>
      </c>
      <c r="C336" s="42">
        <f t="shared" si="5"/>
        <v>1.8150000000000004</v>
      </c>
    </row>
    <row r="337" spans="2:3" x14ac:dyDescent="0.25">
      <c r="B337" s="4">
        <v>3.35</v>
      </c>
      <c r="C337" s="42">
        <f t="shared" si="5"/>
        <v>1.7874999999999996</v>
      </c>
    </row>
    <row r="338" spans="2:3" x14ac:dyDescent="0.25">
      <c r="B338" s="4">
        <v>3.36</v>
      </c>
      <c r="C338" s="42">
        <f t="shared" si="5"/>
        <v>1.7600000000000002</v>
      </c>
    </row>
    <row r="339" spans="2:3" x14ac:dyDescent="0.25">
      <c r="B339" s="4">
        <v>3.37</v>
      </c>
      <c r="C339" s="42">
        <f t="shared" si="5"/>
        <v>1.7324999999999997</v>
      </c>
    </row>
    <row r="340" spans="2:3" x14ac:dyDescent="0.25">
      <c r="B340" s="4">
        <v>3.38</v>
      </c>
      <c r="C340" s="42">
        <f t="shared" si="5"/>
        <v>1.7050000000000003</v>
      </c>
    </row>
    <row r="341" spans="2:3" x14ac:dyDescent="0.25">
      <c r="B341" s="4">
        <v>3.39</v>
      </c>
      <c r="C341" s="42">
        <f t="shared" si="5"/>
        <v>1.6774999999999998</v>
      </c>
    </row>
    <row r="342" spans="2:3" x14ac:dyDescent="0.25">
      <c r="B342" s="4">
        <v>3.4</v>
      </c>
      <c r="C342" s="42">
        <f t="shared" si="5"/>
        <v>1.6500000000000004</v>
      </c>
    </row>
    <row r="343" spans="2:3" x14ac:dyDescent="0.25">
      <c r="B343" s="4">
        <v>3.41</v>
      </c>
      <c r="C343" s="42">
        <f t="shared" si="5"/>
        <v>1.6224999999999996</v>
      </c>
    </row>
    <row r="344" spans="2:3" x14ac:dyDescent="0.25">
      <c r="B344" s="4">
        <v>3.42</v>
      </c>
      <c r="C344" s="42">
        <f t="shared" si="5"/>
        <v>1.5950000000000002</v>
      </c>
    </row>
    <row r="345" spans="2:3" x14ac:dyDescent="0.25">
      <c r="B345" s="4">
        <v>3.43</v>
      </c>
      <c r="C345" s="42">
        <f t="shared" si="5"/>
        <v>1.5674999999999994</v>
      </c>
    </row>
    <row r="346" spans="2:3" x14ac:dyDescent="0.25">
      <c r="B346" s="4">
        <v>3.44</v>
      </c>
      <c r="C346" s="42">
        <f t="shared" si="5"/>
        <v>1.54</v>
      </c>
    </row>
    <row r="347" spans="2:3" x14ac:dyDescent="0.25">
      <c r="B347" s="4">
        <v>3.45</v>
      </c>
      <c r="C347" s="42">
        <f t="shared" si="5"/>
        <v>1.5124999999999995</v>
      </c>
    </row>
    <row r="348" spans="2:3" x14ac:dyDescent="0.25">
      <c r="B348" s="4">
        <v>3.46</v>
      </c>
      <c r="C348" s="42">
        <f t="shared" si="5"/>
        <v>1.4850000000000001</v>
      </c>
    </row>
    <row r="349" spans="2:3" x14ac:dyDescent="0.25">
      <c r="B349" s="4">
        <v>3.47</v>
      </c>
      <c r="C349" s="42">
        <f t="shared" si="5"/>
        <v>1.4574999999999996</v>
      </c>
    </row>
    <row r="350" spans="2:3" x14ac:dyDescent="0.25">
      <c r="B350" s="4">
        <v>3.48</v>
      </c>
      <c r="C350" s="42">
        <f t="shared" si="5"/>
        <v>1.4300000000000002</v>
      </c>
    </row>
    <row r="351" spans="2:3" x14ac:dyDescent="0.25">
      <c r="B351" s="4">
        <v>3.49</v>
      </c>
      <c r="C351" s="42">
        <f t="shared" si="5"/>
        <v>1.4024999999999994</v>
      </c>
    </row>
    <row r="352" spans="2:3" x14ac:dyDescent="0.25">
      <c r="B352" s="4">
        <v>3.5</v>
      </c>
      <c r="C352" s="42">
        <f t="shared" si="5"/>
        <v>1.375</v>
      </c>
    </row>
    <row r="353" spans="2:3" x14ac:dyDescent="0.25">
      <c r="B353" s="4">
        <v>3.51</v>
      </c>
      <c r="C353" s="42">
        <f t="shared" si="5"/>
        <v>1.3475000000000006</v>
      </c>
    </row>
    <row r="354" spans="2:3" x14ac:dyDescent="0.25">
      <c r="B354" s="4">
        <v>3.52</v>
      </c>
      <c r="C354" s="42">
        <f t="shared" si="5"/>
        <v>1.3199999999999998</v>
      </c>
    </row>
    <row r="355" spans="2:3" x14ac:dyDescent="0.25">
      <c r="B355" s="4">
        <v>3.53</v>
      </c>
      <c r="C355" s="42">
        <f t="shared" si="5"/>
        <v>1.2925000000000004</v>
      </c>
    </row>
    <row r="356" spans="2:3" x14ac:dyDescent="0.25">
      <c r="B356" s="4">
        <v>3.54</v>
      </c>
      <c r="C356" s="42">
        <f t="shared" si="5"/>
        <v>1.2649999999999999</v>
      </c>
    </row>
    <row r="357" spans="2:3" x14ac:dyDescent="0.25">
      <c r="B357" s="4">
        <v>3.55</v>
      </c>
      <c r="C357" s="42">
        <f t="shared" si="5"/>
        <v>1.2375000000000005</v>
      </c>
    </row>
    <row r="358" spans="2:3" x14ac:dyDescent="0.25">
      <c r="B358" s="4">
        <v>3.56</v>
      </c>
      <c r="C358" s="42">
        <f t="shared" si="5"/>
        <v>1.21</v>
      </c>
    </row>
    <row r="359" spans="2:3" x14ac:dyDescent="0.25">
      <c r="B359" s="4">
        <v>3.57</v>
      </c>
      <c r="C359" s="42">
        <f t="shared" si="5"/>
        <v>1.1825000000000006</v>
      </c>
    </row>
    <row r="360" spans="2:3" x14ac:dyDescent="0.25">
      <c r="B360" s="4">
        <v>3.58</v>
      </c>
      <c r="C360" s="42">
        <f t="shared" si="5"/>
        <v>1.1549999999999998</v>
      </c>
    </row>
    <row r="361" spans="2:3" x14ac:dyDescent="0.25">
      <c r="B361" s="4">
        <v>3.59</v>
      </c>
      <c r="C361" s="42">
        <f t="shared" si="5"/>
        <v>1.1275000000000004</v>
      </c>
    </row>
    <row r="362" spans="2:3" x14ac:dyDescent="0.25">
      <c r="B362" s="4">
        <v>3.6</v>
      </c>
      <c r="C362" s="42">
        <f t="shared" si="5"/>
        <v>1.0999999999999996</v>
      </c>
    </row>
    <row r="363" spans="2:3" x14ac:dyDescent="0.25">
      <c r="B363" s="4">
        <v>3.61</v>
      </c>
      <c r="C363" s="42">
        <f t="shared" si="5"/>
        <v>1.0725000000000002</v>
      </c>
    </row>
    <row r="364" spans="2:3" x14ac:dyDescent="0.25">
      <c r="B364" s="4">
        <v>3.62</v>
      </c>
      <c r="C364" s="42">
        <f t="shared" si="5"/>
        <v>1.0449999999999997</v>
      </c>
    </row>
    <row r="365" spans="2:3" x14ac:dyDescent="0.25">
      <c r="B365" s="4">
        <v>3.63</v>
      </c>
      <c r="C365" s="42">
        <f t="shared" si="5"/>
        <v>1.0175000000000003</v>
      </c>
    </row>
    <row r="366" spans="2:3" x14ac:dyDescent="0.25">
      <c r="B366" s="4">
        <v>3.64</v>
      </c>
      <c r="C366" s="42">
        <f t="shared" si="5"/>
        <v>0.98999999999999966</v>
      </c>
    </row>
    <row r="367" spans="2:3" x14ac:dyDescent="0.25">
      <c r="B367" s="4">
        <v>3.65</v>
      </c>
      <c r="C367" s="42">
        <f t="shared" si="5"/>
        <v>0.96250000000000024</v>
      </c>
    </row>
    <row r="368" spans="2:3" x14ac:dyDescent="0.25">
      <c r="B368" s="4">
        <v>3.66</v>
      </c>
      <c r="C368" s="42">
        <f t="shared" si="5"/>
        <v>0.93499999999999961</v>
      </c>
    </row>
    <row r="369" spans="2:3" x14ac:dyDescent="0.25">
      <c r="B369" s="4">
        <v>3.67</v>
      </c>
      <c r="C369" s="42">
        <f t="shared" si="5"/>
        <v>0.9075000000000002</v>
      </c>
    </row>
    <row r="370" spans="2:3" x14ac:dyDescent="0.25">
      <c r="B370" s="4">
        <v>3.68</v>
      </c>
      <c r="C370" s="42">
        <f t="shared" si="5"/>
        <v>0.87999999999999956</v>
      </c>
    </row>
    <row r="371" spans="2:3" x14ac:dyDescent="0.25">
      <c r="B371" s="4">
        <v>3.69</v>
      </c>
      <c r="C371" s="42">
        <f t="shared" si="5"/>
        <v>0.85250000000000015</v>
      </c>
    </row>
    <row r="372" spans="2:3" x14ac:dyDescent="0.25">
      <c r="B372" s="4">
        <v>3.7</v>
      </c>
      <c r="C372" s="42">
        <f t="shared" si="5"/>
        <v>0.82499999999999951</v>
      </c>
    </row>
    <row r="373" spans="2:3" x14ac:dyDescent="0.25">
      <c r="B373" s="4">
        <v>3.71</v>
      </c>
      <c r="C373" s="42">
        <f t="shared" si="5"/>
        <v>0.7975000000000001</v>
      </c>
    </row>
    <row r="374" spans="2:3" x14ac:dyDescent="0.25">
      <c r="B374" s="4">
        <v>3.72</v>
      </c>
      <c r="C374" s="42">
        <f t="shared" si="5"/>
        <v>0.76999999999999946</v>
      </c>
    </row>
    <row r="375" spans="2:3" x14ac:dyDescent="0.25">
      <c r="B375" s="4">
        <v>3.73</v>
      </c>
      <c r="C375" s="42">
        <f t="shared" si="5"/>
        <v>0.74250000000000005</v>
      </c>
    </row>
    <row r="376" spans="2:3" x14ac:dyDescent="0.25">
      <c r="B376" s="4">
        <v>3.74</v>
      </c>
      <c r="C376" s="42">
        <f t="shared" si="5"/>
        <v>0.71499999999999941</v>
      </c>
    </row>
    <row r="377" spans="2:3" x14ac:dyDescent="0.25">
      <c r="B377" s="4">
        <v>3.75</v>
      </c>
      <c r="C377" s="42">
        <f t="shared" si="5"/>
        <v>0.6875</v>
      </c>
    </row>
    <row r="378" spans="2:3" x14ac:dyDescent="0.25">
      <c r="B378" s="4">
        <v>3.76</v>
      </c>
      <c r="C378" s="42">
        <f t="shared" si="5"/>
        <v>0.66000000000000059</v>
      </c>
    </row>
    <row r="379" spans="2:3" x14ac:dyDescent="0.25">
      <c r="B379" s="4">
        <v>3.77</v>
      </c>
      <c r="C379" s="42">
        <f t="shared" si="5"/>
        <v>0.63249999999999995</v>
      </c>
    </row>
    <row r="380" spans="2:3" x14ac:dyDescent="0.25">
      <c r="B380" s="4">
        <v>3.78</v>
      </c>
      <c r="C380" s="42">
        <f t="shared" si="5"/>
        <v>0.60500000000000054</v>
      </c>
    </row>
    <row r="381" spans="2:3" x14ac:dyDescent="0.25">
      <c r="B381" s="4">
        <v>3.79</v>
      </c>
      <c r="C381" s="42">
        <f t="shared" si="5"/>
        <v>0.5774999999999999</v>
      </c>
    </row>
    <row r="382" spans="2:3" x14ac:dyDescent="0.25">
      <c r="B382" s="4">
        <v>3.8</v>
      </c>
      <c r="C382" s="42">
        <f t="shared" si="5"/>
        <v>0.55000000000000049</v>
      </c>
    </row>
    <row r="383" spans="2:3" x14ac:dyDescent="0.25">
      <c r="B383" s="4">
        <v>3.81</v>
      </c>
      <c r="C383" s="42">
        <f t="shared" si="5"/>
        <v>0.52249999999999985</v>
      </c>
    </row>
    <row r="384" spans="2:3" x14ac:dyDescent="0.25">
      <c r="B384" s="4">
        <v>3.82</v>
      </c>
      <c r="C384" s="42">
        <f t="shared" si="5"/>
        <v>0.49500000000000044</v>
      </c>
    </row>
    <row r="385" spans="2:3" x14ac:dyDescent="0.25">
      <c r="B385" s="4">
        <v>3.83</v>
      </c>
      <c r="C385" s="42">
        <f t="shared" si="5"/>
        <v>0.4674999999999998</v>
      </c>
    </row>
    <row r="386" spans="2:3" x14ac:dyDescent="0.25">
      <c r="B386" s="4">
        <v>3.84</v>
      </c>
      <c r="C386" s="42">
        <f t="shared" si="5"/>
        <v>0.44000000000000039</v>
      </c>
    </row>
    <row r="387" spans="2:3" x14ac:dyDescent="0.25">
      <c r="B387" s="4">
        <v>3.85</v>
      </c>
      <c r="C387" s="42">
        <f t="shared" si="5"/>
        <v>0.41249999999999976</v>
      </c>
    </row>
    <row r="388" spans="2:3" x14ac:dyDescent="0.25">
      <c r="B388" s="4">
        <v>3.86</v>
      </c>
      <c r="C388" s="42">
        <f t="shared" ref="C388:C451" si="6">11*(1-(B388/2*0.5))</f>
        <v>0.38500000000000034</v>
      </c>
    </row>
    <row r="389" spans="2:3" x14ac:dyDescent="0.25">
      <c r="B389" s="4">
        <v>3.87</v>
      </c>
      <c r="C389" s="42">
        <f t="shared" si="6"/>
        <v>0.35749999999999971</v>
      </c>
    </row>
    <row r="390" spans="2:3" x14ac:dyDescent="0.25">
      <c r="B390" s="4">
        <v>3.88</v>
      </c>
      <c r="C390" s="42">
        <f t="shared" si="6"/>
        <v>0.33000000000000029</v>
      </c>
    </row>
    <row r="391" spans="2:3" x14ac:dyDescent="0.25">
      <c r="B391" s="4">
        <v>3.89</v>
      </c>
      <c r="C391" s="42">
        <f t="shared" si="6"/>
        <v>0.30249999999999966</v>
      </c>
    </row>
    <row r="392" spans="2:3" x14ac:dyDescent="0.25">
      <c r="B392" s="4">
        <v>3.9</v>
      </c>
      <c r="C392" s="42">
        <f t="shared" si="6"/>
        <v>0.27500000000000024</v>
      </c>
    </row>
    <row r="393" spans="2:3" x14ac:dyDescent="0.25">
      <c r="B393" s="4">
        <v>3.91</v>
      </c>
      <c r="C393" s="42">
        <f t="shared" si="6"/>
        <v>0.24749999999999961</v>
      </c>
    </row>
    <row r="394" spans="2:3" x14ac:dyDescent="0.25">
      <c r="B394" s="4">
        <v>3.92</v>
      </c>
      <c r="C394" s="42">
        <f t="shared" si="6"/>
        <v>0.2200000000000002</v>
      </c>
    </row>
    <row r="395" spans="2:3" x14ac:dyDescent="0.25">
      <c r="B395" s="4">
        <v>3.93</v>
      </c>
      <c r="C395" s="42">
        <f t="shared" si="6"/>
        <v>0.19249999999999956</v>
      </c>
    </row>
    <row r="396" spans="2:3" x14ac:dyDescent="0.25">
      <c r="B396" s="4">
        <v>3.94</v>
      </c>
      <c r="C396" s="42">
        <f t="shared" si="6"/>
        <v>0.16500000000000015</v>
      </c>
    </row>
    <row r="397" spans="2:3" x14ac:dyDescent="0.25">
      <c r="B397" s="4">
        <v>3.95</v>
      </c>
      <c r="C397" s="42">
        <f t="shared" si="6"/>
        <v>0.13749999999999951</v>
      </c>
    </row>
    <row r="398" spans="2:3" x14ac:dyDescent="0.25">
      <c r="B398" s="4">
        <v>3.96</v>
      </c>
      <c r="C398" s="42">
        <f t="shared" si="6"/>
        <v>0.1100000000000001</v>
      </c>
    </row>
    <row r="399" spans="2:3" x14ac:dyDescent="0.25">
      <c r="B399" s="4">
        <v>3.97</v>
      </c>
      <c r="C399" s="42">
        <f t="shared" si="6"/>
        <v>8.2499999999999463E-2</v>
      </c>
    </row>
    <row r="400" spans="2:3" x14ac:dyDescent="0.25">
      <c r="B400" s="4">
        <v>3.98</v>
      </c>
      <c r="C400" s="42">
        <f t="shared" si="6"/>
        <v>5.5000000000000049E-2</v>
      </c>
    </row>
    <row r="401" spans="2:3" x14ac:dyDescent="0.25">
      <c r="B401" s="4">
        <v>3.99</v>
      </c>
      <c r="C401" s="42">
        <f t="shared" si="6"/>
        <v>2.7499999999999414E-2</v>
      </c>
    </row>
    <row r="402" spans="2:3" x14ac:dyDescent="0.25">
      <c r="B402" s="4">
        <v>4</v>
      </c>
      <c r="C402" s="42">
        <f t="shared" si="6"/>
        <v>0</v>
      </c>
    </row>
    <row r="403" spans="2:3" x14ac:dyDescent="0.25">
      <c r="B403" s="4">
        <v>4.01</v>
      </c>
      <c r="C403" s="42">
        <f t="shared" si="6"/>
        <v>-2.7499999999999414E-2</v>
      </c>
    </row>
    <row r="404" spans="2:3" x14ac:dyDescent="0.25">
      <c r="B404" s="4">
        <v>4.0199999999999996</v>
      </c>
      <c r="C404" s="42">
        <f t="shared" si="6"/>
        <v>-5.4999999999998828E-2</v>
      </c>
    </row>
    <row r="405" spans="2:3" x14ac:dyDescent="0.25">
      <c r="B405" s="4">
        <v>4.03</v>
      </c>
      <c r="C405" s="42">
        <f t="shared" si="6"/>
        <v>-8.2500000000000684E-2</v>
      </c>
    </row>
    <row r="406" spans="2:3" x14ac:dyDescent="0.25">
      <c r="B406" s="4">
        <v>4.04</v>
      </c>
      <c r="C406" s="42">
        <f t="shared" si="6"/>
        <v>-0.1100000000000001</v>
      </c>
    </row>
    <row r="407" spans="2:3" x14ac:dyDescent="0.25">
      <c r="B407" s="4">
        <v>4.05</v>
      </c>
      <c r="C407" s="42">
        <f t="shared" si="6"/>
        <v>-0.13749999999999951</v>
      </c>
    </row>
    <row r="408" spans="2:3" x14ac:dyDescent="0.25">
      <c r="B408" s="4">
        <v>4.0599999999999996</v>
      </c>
      <c r="C408" s="42">
        <f t="shared" si="6"/>
        <v>-0.16499999999999893</v>
      </c>
    </row>
    <row r="409" spans="2:3" x14ac:dyDescent="0.25">
      <c r="B409" s="4">
        <v>4.07</v>
      </c>
      <c r="C409" s="42">
        <f t="shared" si="6"/>
        <v>-0.19250000000000078</v>
      </c>
    </row>
    <row r="410" spans="2:3" x14ac:dyDescent="0.25">
      <c r="B410" s="4">
        <v>4.08</v>
      </c>
      <c r="C410" s="42">
        <f t="shared" si="6"/>
        <v>-0.2200000000000002</v>
      </c>
    </row>
    <row r="411" spans="2:3" x14ac:dyDescent="0.25">
      <c r="B411" s="4">
        <v>4.09</v>
      </c>
      <c r="C411" s="42">
        <f t="shared" si="6"/>
        <v>-0.24749999999999961</v>
      </c>
    </row>
    <row r="412" spans="2:3" x14ac:dyDescent="0.25">
      <c r="B412" s="4">
        <v>4.0999999999999996</v>
      </c>
      <c r="C412" s="42">
        <f t="shared" si="6"/>
        <v>-0.27499999999999902</v>
      </c>
    </row>
    <row r="413" spans="2:3" x14ac:dyDescent="0.25">
      <c r="B413" s="4">
        <v>4.1100000000000003</v>
      </c>
      <c r="C413" s="42">
        <f t="shared" si="6"/>
        <v>-0.30250000000000088</v>
      </c>
    </row>
    <row r="414" spans="2:3" x14ac:dyDescent="0.25">
      <c r="B414" s="4">
        <v>4.12</v>
      </c>
      <c r="C414" s="42">
        <f t="shared" si="6"/>
        <v>-0.33000000000000029</v>
      </c>
    </row>
    <row r="415" spans="2:3" x14ac:dyDescent="0.25">
      <c r="B415" s="4">
        <v>4.13</v>
      </c>
      <c r="C415" s="42">
        <f t="shared" si="6"/>
        <v>-0.35749999999999971</v>
      </c>
    </row>
    <row r="416" spans="2:3" x14ac:dyDescent="0.25">
      <c r="B416" s="4">
        <v>4.1399999999999997</v>
      </c>
      <c r="C416" s="42">
        <f t="shared" si="6"/>
        <v>-0.38499999999999912</v>
      </c>
    </row>
    <row r="417" spans="2:3" x14ac:dyDescent="0.25">
      <c r="B417" s="4">
        <v>4.1500000000000004</v>
      </c>
      <c r="C417" s="42">
        <f t="shared" si="6"/>
        <v>-0.41250000000000098</v>
      </c>
    </row>
    <row r="418" spans="2:3" x14ac:dyDescent="0.25">
      <c r="B418" s="4">
        <v>4.16</v>
      </c>
      <c r="C418" s="42">
        <f t="shared" si="6"/>
        <v>-0.44000000000000039</v>
      </c>
    </row>
    <row r="419" spans="2:3" x14ac:dyDescent="0.25">
      <c r="B419" s="4">
        <v>4.17</v>
      </c>
      <c r="C419" s="42">
        <f t="shared" si="6"/>
        <v>-0.4674999999999998</v>
      </c>
    </row>
    <row r="420" spans="2:3" x14ac:dyDescent="0.25">
      <c r="B420" s="4">
        <v>4.18</v>
      </c>
      <c r="C420" s="42">
        <f t="shared" si="6"/>
        <v>-0.49499999999999922</v>
      </c>
    </row>
    <row r="421" spans="2:3" x14ac:dyDescent="0.25">
      <c r="B421" s="4">
        <v>4.1900000000000004</v>
      </c>
      <c r="C421" s="42">
        <f t="shared" si="6"/>
        <v>-0.52250000000000107</v>
      </c>
    </row>
    <row r="422" spans="2:3" x14ac:dyDescent="0.25">
      <c r="B422" s="4">
        <v>4.2</v>
      </c>
      <c r="C422" s="42">
        <f t="shared" si="6"/>
        <v>-0.55000000000000049</v>
      </c>
    </row>
    <row r="423" spans="2:3" x14ac:dyDescent="0.25">
      <c r="B423" s="4">
        <v>4.21</v>
      </c>
      <c r="C423" s="42">
        <f t="shared" si="6"/>
        <v>-0.5774999999999999</v>
      </c>
    </row>
    <row r="424" spans="2:3" x14ac:dyDescent="0.25">
      <c r="B424" s="4">
        <v>4.22</v>
      </c>
      <c r="C424" s="42">
        <f t="shared" si="6"/>
        <v>-0.60499999999999932</v>
      </c>
    </row>
    <row r="425" spans="2:3" x14ac:dyDescent="0.25">
      <c r="B425" s="4">
        <v>4.2300000000000004</v>
      </c>
      <c r="C425" s="42">
        <f t="shared" si="6"/>
        <v>-0.63250000000000117</v>
      </c>
    </row>
    <row r="426" spans="2:3" x14ac:dyDescent="0.25">
      <c r="B426" s="4">
        <v>4.24</v>
      </c>
      <c r="C426" s="42">
        <f t="shared" si="6"/>
        <v>-0.66000000000000059</v>
      </c>
    </row>
    <row r="427" spans="2:3" x14ac:dyDescent="0.25">
      <c r="B427" s="4">
        <v>4.25</v>
      </c>
      <c r="C427" s="42">
        <f t="shared" si="6"/>
        <v>-0.6875</v>
      </c>
    </row>
    <row r="428" spans="2:3" x14ac:dyDescent="0.25">
      <c r="B428" s="4">
        <v>4.26</v>
      </c>
      <c r="C428" s="42">
        <f t="shared" si="6"/>
        <v>-0.71499999999999941</v>
      </c>
    </row>
    <row r="429" spans="2:3" x14ac:dyDescent="0.25">
      <c r="B429" s="4">
        <v>4.2699999999999996</v>
      </c>
      <c r="C429" s="42">
        <f t="shared" si="6"/>
        <v>-0.74249999999999883</v>
      </c>
    </row>
    <row r="430" spans="2:3" x14ac:dyDescent="0.25">
      <c r="B430" s="4">
        <v>4.28</v>
      </c>
      <c r="C430" s="42">
        <f t="shared" si="6"/>
        <v>-0.77000000000000068</v>
      </c>
    </row>
    <row r="431" spans="2:3" x14ac:dyDescent="0.25">
      <c r="B431" s="4">
        <v>4.29</v>
      </c>
      <c r="C431" s="42">
        <f t="shared" si="6"/>
        <v>-0.7975000000000001</v>
      </c>
    </row>
    <row r="432" spans="2:3" x14ac:dyDescent="0.25">
      <c r="B432" s="4">
        <v>4.3</v>
      </c>
      <c r="C432" s="42">
        <f t="shared" si="6"/>
        <v>-0.82499999999999951</v>
      </c>
    </row>
    <row r="433" spans="2:3" x14ac:dyDescent="0.25">
      <c r="B433" s="4">
        <v>4.3099999999999996</v>
      </c>
      <c r="C433" s="42">
        <f t="shared" si="6"/>
        <v>-0.85249999999999893</v>
      </c>
    </row>
    <row r="434" spans="2:3" x14ac:dyDescent="0.25">
      <c r="B434" s="4">
        <v>4.32</v>
      </c>
      <c r="C434" s="42">
        <f t="shared" si="6"/>
        <v>-0.88000000000000078</v>
      </c>
    </row>
    <row r="435" spans="2:3" x14ac:dyDescent="0.25">
      <c r="B435" s="4">
        <v>4.33</v>
      </c>
      <c r="C435" s="42">
        <f t="shared" si="6"/>
        <v>-0.9075000000000002</v>
      </c>
    </row>
    <row r="436" spans="2:3" x14ac:dyDescent="0.25">
      <c r="B436" s="4">
        <v>4.34</v>
      </c>
      <c r="C436" s="42">
        <f t="shared" si="6"/>
        <v>-0.93499999999999961</v>
      </c>
    </row>
    <row r="437" spans="2:3" x14ac:dyDescent="0.25">
      <c r="B437" s="4">
        <v>4.3499999999999996</v>
      </c>
      <c r="C437" s="42">
        <f t="shared" si="6"/>
        <v>-0.96249999999999902</v>
      </c>
    </row>
    <row r="438" spans="2:3" x14ac:dyDescent="0.25">
      <c r="B438" s="4">
        <v>4.3600000000000003</v>
      </c>
      <c r="C438" s="42">
        <f t="shared" si="6"/>
        <v>-0.99000000000000088</v>
      </c>
    </row>
    <row r="439" spans="2:3" x14ac:dyDescent="0.25">
      <c r="B439" s="4">
        <v>4.37</v>
      </c>
      <c r="C439" s="42">
        <f t="shared" si="6"/>
        <v>-1.0175000000000003</v>
      </c>
    </row>
    <row r="440" spans="2:3" x14ac:dyDescent="0.25">
      <c r="B440" s="4">
        <v>4.38</v>
      </c>
      <c r="C440" s="42">
        <f t="shared" si="6"/>
        <v>-1.0449999999999997</v>
      </c>
    </row>
    <row r="441" spans="2:3" x14ac:dyDescent="0.25">
      <c r="B441" s="4">
        <v>4.3899999999999997</v>
      </c>
      <c r="C441" s="42">
        <f t="shared" si="6"/>
        <v>-1.0724999999999991</v>
      </c>
    </row>
    <row r="442" spans="2:3" x14ac:dyDescent="0.25">
      <c r="B442" s="4">
        <v>4.4000000000000004</v>
      </c>
      <c r="C442" s="42">
        <f t="shared" si="6"/>
        <v>-1.100000000000001</v>
      </c>
    </row>
    <row r="443" spans="2:3" x14ac:dyDescent="0.25">
      <c r="B443" s="4">
        <v>4.41</v>
      </c>
      <c r="C443" s="42">
        <f t="shared" si="6"/>
        <v>-1.1275000000000004</v>
      </c>
    </row>
    <row r="444" spans="2:3" x14ac:dyDescent="0.25">
      <c r="B444" s="4">
        <v>4.42</v>
      </c>
      <c r="C444" s="42">
        <f t="shared" si="6"/>
        <v>-1.1549999999999998</v>
      </c>
    </row>
    <row r="445" spans="2:3" x14ac:dyDescent="0.25">
      <c r="B445" s="4">
        <v>4.43</v>
      </c>
      <c r="C445" s="42">
        <f t="shared" si="6"/>
        <v>-1.1824999999999992</v>
      </c>
    </row>
    <row r="446" spans="2:3" x14ac:dyDescent="0.25">
      <c r="B446" s="4">
        <v>4.4400000000000004</v>
      </c>
      <c r="C446" s="42">
        <f t="shared" si="6"/>
        <v>-1.2100000000000011</v>
      </c>
    </row>
    <row r="447" spans="2:3" x14ac:dyDescent="0.25">
      <c r="B447" s="4">
        <v>4.45</v>
      </c>
      <c r="C447" s="42">
        <f t="shared" si="6"/>
        <v>-1.2375000000000005</v>
      </c>
    </row>
    <row r="448" spans="2:3" x14ac:dyDescent="0.25">
      <c r="B448" s="4">
        <v>4.46</v>
      </c>
      <c r="C448" s="42">
        <f t="shared" si="6"/>
        <v>-1.2649999999999999</v>
      </c>
    </row>
    <row r="449" spans="2:3" x14ac:dyDescent="0.25">
      <c r="B449" s="4">
        <v>4.47</v>
      </c>
      <c r="C449" s="42">
        <f t="shared" si="6"/>
        <v>-1.2924999999999993</v>
      </c>
    </row>
    <row r="450" spans="2:3" x14ac:dyDescent="0.25">
      <c r="B450" s="4">
        <v>4.4800000000000004</v>
      </c>
      <c r="C450" s="42">
        <f t="shared" si="6"/>
        <v>-1.3200000000000012</v>
      </c>
    </row>
    <row r="451" spans="2:3" x14ac:dyDescent="0.25">
      <c r="B451" s="4">
        <v>4.49</v>
      </c>
      <c r="C451" s="42">
        <f t="shared" si="6"/>
        <v>-1.3475000000000006</v>
      </c>
    </row>
    <row r="452" spans="2:3" x14ac:dyDescent="0.25">
      <c r="B452" s="4">
        <v>4.5</v>
      </c>
      <c r="C452" s="42">
        <f t="shared" ref="C452:C515" si="7">11*(1-(B452/2*0.5))</f>
        <v>-1.375</v>
      </c>
    </row>
    <row r="453" spans="2:3" x14ac:dyDescent="0.25">
      <c r="B453" s="4">
        <v>4.51</v>
      </c>
      <c r="C453" s="42">
        <f t="shared" si="7"/>
        <v>-1.4024999999999994</v>
      </c>
    </row>
    <row r="454" spans="2:3" x14ac:dyDescent="0.25">
      <c r="B454" s="4">
        <v>4.5199999999999996</v>
      </c>
      <c r="C454" s="42">
        <f t="shared" si="7"/>
        <v>-1.4299999999999988</v>
      </c>
    </row>
    <row r="455" spans="2:3" x14ac:dyDescent="0.25">
      <c r="B455" s="4">
        <v>4.53</v>
      </c>
      <c r="C455" s="42">
        <f t="shared" si="7"/>
        <v>-1.4575000000000007</v>
      </c>
    </row>
    <row r="456" spans="2:3" x14ac:dyDescent="0.25">
      <c r="B456" s="4">
        <v>4.54</v>
      </c>
      <c r="C456" s="42">
        <f t="shared" si="7"/>
        <v>-1.4850000000000001</v>
      </c>
    </row>
    <row r="457" spans="2:3" x14ac:dyDescent="0.25">
      <c r="B457" s="4">
        <v>4.55</v>
      </c>
      <c r="C457" s="42">
        <f t="shared" si="7"/>
        <v>-1.5124999999999995</v>
      </c>
    </row>
    <row r="458" spans="2:3" x14ac:dyDescent="0.25">
      <c r="B458" s="4">
        <v>4.5599999999999996</v>
      </c>
      <c r="C458" s="42">
        <f t="shared" si="7"/>
        <v>-1.5399999999999989</v>
      </c>
    </row>
    <row r="459" spans="2:3" x14ac:dyDescent="0.25">
      <c r="B459" s="4">
        <v>4.57</v>
      </c>
      <c r="C459" s="42">
        <f t="shared" si="7"/>
        <v>-1.5675000000000008</v>
      </c>
    </row>
    <row r="460" spans="2:3" x14ac:dyDescent="0.25">
      <c r="B460" s="4">
        <v>4.58</v>
      </c>
      <c r="C460" s="42">
        <f t="shared" si="7"/>
        <v>-1.5950000000000002</v>
      </c>
    </row>
    <row r="461" spans="2:3" x14ac:dyDescent="0.25">
      <c r="B461" s="4">
        <v>4.59</v>
      </c>
      <c r="C461" s="42">
        <f t="shared" si="7"/>
        <v>-1.6224999999999996</v>
      </c>
    </row>
    <row r="462" spans="2:3" x14ac:dyDescent="0.25">
      <c r="B462" s="4">
        <v>4.5999999999999996</v>
      </c>
      <c r="C462" s="42">
        <f t="shared" si="7"/>
        <v>-1.649999999999999</v>
      </c>
    </row>
    <row r="463" spans="2:3" x14ac:dyDescent="0.25">
      <c r="B463" s="4">
        <v>4.6100000000000003</v>
      </c>
      <c r="C463" s="42">
        <f t="shared" si="7"/>
        <v>-1.6775000000000009</v>
      </c>
    </row>
    <row r="464" spans="2:3" x14ac:dyDescent="0.25">
      <c r="B464" s="4">
        <v>4.62</v>
      </c>
      <c r="C464" s="42">
        <f t="shared" si="7"/>
        <v>-1.7050000000000003</v>
      </c>
    </row>
    <row r="465" spans="2:3" x14ac:dyDescent="0.25">
      <c r="B465" s="4">
        <v>4.63</v>
      </c>
      <c r="C465" s="42">
        <f t="shared" si="7"/>
        <v>-1.7324999999999997</v>
      </c>
    </row>
    <row r="466" spans="2:3" x14ac:dyDescent="0.25">
      <c r="B466" s="4">
        <v>4.6399999999999997</v>
      </c>
      <c r="C466" s="42">
        <f t="shared" si="7"/>
        <v>-1.7599999999999991</v>
      </c>
    </row>
    <row r="467" spans="2:3" x14ac:dyDescent="0.25">
      <c r="B467" s="4">
        <v>4.6500000000000004</v>
      </c>
      <c r="C467" s="42">
        <f t="shared" si="7"/>
        <v>-1.787500000000001</v>
      </c>
    </row>
    <row r="468" spans="2:3" x14ac:dyDescent="0.25">
      <c r="B468" s="4">
        <v>4.66</v>
      </c>
      <c r="C468" s="42">
        <f t="shared" si="7"/>
        <v>-1.8150000000000004</v>
      </c>
    </row>
    <row r="469" spans="2:3" x14ac:dyDescent="0.25">
      <c r="B469" s="4">
        <v>4.67</v>
      </c>
      <c r="C469" s="42">
        <f t="shared" si="7"/>
        <v>-1.8424999999999998</v>
      </c>
    </row>
    <row r="470" spans="2:3" x14ac:dyDescent="0.25">
      <c r="B470" s="4">
        <v>4.68</v>
      </c>
      <c r="C470" s="42">
        <f t="shared" si="7"/>
        <v>-1.8699999999999992</v>
      </c>
    </row>
    <row r="471" spans="2:3" x14ac:dyDescent="0.25">
      <c r="B471" s="4">
        <v>4.6900000000000004</v>
      </c>
      <c r="C471" s="42">
        <f t="shared" si="7"/>
        <v>-1.8975000000000011</v>
      </c>
    </row>
    <row r="472" spans="2:3" x14ac:dyDescent="0.25">
      <c r="B472" s="4">
        <v>4.7</v>
      </c>
      <c r="C472" s="42">
        <f t="shared" si="7"/>
        <v>-1.9250000000000005</v>
      </c>
    </row>
    <row r="473" spans="2:3" x14ac:dyDescent="0.25">
      <c r="B473" s="4">
        <v>4.71</v>
      </c>
      <c r="C473" s="42">
        <f t="shared" si="7"/>
        <v>-1.9524999999999999</v>
      </c>
    </row>
    <row r="474" spans="2:3" x14ac:dyDescent="0.25">
      <c r="B474" s="4">
        <v>4.72</v>
      </c>
      <c r="C474" s="42">
        <f t="shared" si="7"/>
        <v>-1.9799999999999993</v>
      </c>
    </row>
    <row r="475" spans="2:3" x14ac:dyDescent="0.25">
      <c r="B475" s="4">
        <v>4.7300000000000004</v>
      </c>
      <c r="C475" s="42">
        <f t="shared" si="7"/>
        <v>-2.0075000000000012</v>
      </c>
    </row>
    <row r="476" spans="2:3" x14ac:dyDescent="0.25">
      <c r="B476" s="4">
        <v>4.74</v>
      </c>
      <c r="C476" s="42">
        <f t="shared" si="7"/>
        <v>-2.0350000000000006</v>
      </c>
    </row>
    <row r="477" spans="2:3" x14ac:dyDescent="0.25">
      <c r="B477" s="4">
        <v>4.75</v>
      </c>
      <c r="C477" s="42">
        <f t="shared" si="7"/>
        <v>-2.0625</v>
      </c>
    </row>
    <row r="478" spans="2:3" x14ac:dyDescent="0.25">
      <c r="B478" s="4">
        <v>4.76</v>
      </c>
      <c r="C478" s="42">
        <f t="shared" si="7"/>
        <v>-2.0899999999999994</v>
      </c>
    </row>
    <row r="479" spans="2:3" x14ac:dyDescent="0.25">
      <c r="B479" s="4">
        <v>4.7699999999999996</v>
      </c>
      <c r="C479" s="42">
        <f t="shared" si="7"/>
        <v>-2.1174999999999988</v>
      </c>
    </row>
    <row r="480" spans="2:3" x14ac:dyDescent="0.25">
      <c r="B480" s="4">
        <v>4.78</v>
      </c>
      <c r="C480" s="42">
        <f t="shared" si="7"/>
        <v>-2.1450000000000005</v>
      </c>
    </row>
    <row r="481" spans="2:3" x14ac:dyDescent="0.25">
      <c r="B481" s="4">
        <v>4.79</v>
      </c>
      <c r="C481" s="42">
        <f t="shared" si="7"/>
        <v>-2.1725000000000003</v>
      </c>
    </row>
    <row r="482" spans="2:3" x14ac:dyDescent="0.25">
      <c r="B482" s="4">
        <v>4.8</v>
      </c>
      <c r="C482" s="42">
        <f t="shared" si="7"/>
        <v>-2.1999999999999993</v>
      </c>
    </row>
    <row r="483" spans="2:3" x14ac:dyDescent="0.25">
      <c r="B483" s="4">
        <v>4.8099999999999996</v>
      </c>
      <c r="C483" s="42">
        <f t="shared" si="7"/>
        <v>-2.2274999999999991</v>
      </c>
    </row>
    <row r="484" spans="2:3" x14ac:dyDescent="0.25">
      <c r="B484" s="4">
        <v>4.82</v>
      </c>
      <c r="C484" s="42">
        <f t="shared" si="7"/>
        <v>-2.2550000000000008</v>
      </c>
    </row>
    <row r="485" spans="2:3" x14ac:dyDescent="0.25">
      <c r="B485" s="4">
        <v>4.83</v>
      </c>
      <c r="C485" s="42">
        <f t="shared" si="7"/>
        <v>-2.2825000000000002</v>
      </c>
    </row>
    <row r="486" spans="2:3" x14ac:dyDescent="0.25">
      <c r="B486" s="4">
        <v>4.84</v>
      </c>
      <c r="C486" s="42">
        <f t="shared" si="7"/>
        <v>-2.3099999999999996</v>
      </c>
    </row>
    <row r="487" spans="2:3" x14ac:dyDescent="0.25">
      <c r="B487" s="4">
        <v>4.8499999999999996</v>
      </c>
      <c r="C487" s="42">
        <f t="shared" si="7"/>
        <v>-2.337499999999999</v>
      </c>
    </row>
    <row r="488" spans="2:3" x14ac:dyDescent="0.25">
      <c r="B488" s="4">
        <v>4.8600000000000003</v>
      </c>
      <c r="C488" s="42">
        <f t="shared" si="7"/>
        <v>-2.3650000000000011</v>
      </c>
    </row>
    <row r="489" spans="2:3" x14ac:dyDescent="0.25">
      <c r="B489" s="4">
        <v>4.87</v>
      </c>
      <c r="C489" s="42">
        <f t="shared" si="7"/>
        <v>-2.3925000000000001</v>
      </c>
    </row>
    <row r="490" spans="2:3" x14ac:dyDescent="0.25">
      <c r="B490" s="4">
        <v>4.88</v>
      </c>
      <c r="C490" s="42">
        <f t="shared" si="7"/>
        <v>-2.42</v>
      </c>
    </row>
    <row r="491" spans="2:3" x14ac:dyDescent="0.25">
      <c r="B491" s="4">
        <v>4.8899999999999997</v>
      </c>
      <c r="C491" s="42">
        <f t="shared" si="7"/>
        <v>-2.4474999999999989</v>
      </c>
    </row>
    <row r="492" spans="2:3" x14ac:dyDescent="0.25">
      <c r="B492" s="4">
        <v>4.9000000000000004</v>
      </c>
      <c r="C492" s="42">
        <f t="shared" si="7"/>
        <v>-2.475000000000001</v>
      </c>
    </row>
    <row r="493" spans="2:3" x14ac:dyDescent="0.25">
      <c r="B493" s="4">
        <v>4.91</v>
      </c>
      <c r="C493" s="42">
        <f t="shared" si="7"/>
        <v>-2.5025000000000004</v>
      </c>
    </row>
    <row r="494" spans="2:3" x14ac:dyDescent="0.25">
      <c r="B494" s="4">
        <v>4.92</v>
      </c>
      <c r="C494" s="42">
        <f t="shared" si="7"/>
        <v>-2.5299999999999998</v>
      </c>
    </row>
    <row r="495" spans="2:3" x14ac:dyDescent="0.25">
      <c r="B495" s="4">
        <v>4.93</v>
      </c>
      <c r="C495" s="42">
        <f t="shared" si="7"/>
        <v>-2.5574999999999992</v>
      </c>
    </row>
    <row r="496" spans="2:3" x14ac:dyDescent="0.25">
      <c r="B496" s="4">
        <v>4.9400000000000004</v>
      </c>
      <c r="C496" s="42">
        <f t="shared" si="7"/>
        <v>-2.5850000000000009</v>
      </c>
    </row>
    <row r="497" spans="2:3" x14ac:dyDescent="0.25">
      <c r="B497" s="4">
        <v>4.95</v>
      </c>
      <c r="C497" s="42">
        <f t="shared" si="7"/>
        <v>-2.6125000000000007</v>
      </c>
    </row>
    <row r="498" spans="2:3" x14ac:dyDescent="0.25">
      <c r="B498" s="4">
        <v>4.96</v>
      </c>
      <c r="C498" s="42">
        <f t="shared" si="7"/>
        <v>-2.6399999999999997</v>
      </c>
    </row>
    <row r="499" spans="2:3" x14ac:dyDescent="0.25">
      <c r="B499" s="4">
        <v>4.97</v>
      </c>
      <c r="C499" s="42">
        <f t="shared" si="7"/>
        <v>-2.6674999999999995</v>
      </c>
    </row>
    <row r="500" spans="2:3" x14ac:dyDescent="0.25">
      <c r="B500" s="4">
        <v>4.9800000000000004</v>
      </c>
      <c r="C500" s="42">
        <f t="shared" si="7"/>
        <v>-2.6950000000000012</v>
      </c>
    </row>
    <row r="501" spans="2:3" x14ac:dyDescent="0.25">
      <c r="B501" s="4">
        <v>4.99</v>
      </c>
      <c r="C501" s="42">
        <f t="shared" si="7"/>
        <v>-2.7225000000000006</v>
      </c>
    </row>
    <row r="502" spans="2:3" x14ac:dyDescent="0.25">
      <c r="B502" s="4">
        <v>5</v>
      </c>
      <c r="C502" s="42">
        <f t="shared" si="7"/>
        <v>-2.75</v>
      </c>
    </row>
    <row r="503" spans="2:3" x14ac:dyDescent="0.25">
      <c r="B503" s="4">
        <v>5.01</v>
      </c>
      <c r="C503" s="42">
        <f t="shared" si="7"/>
        <v>-2.7774999999999994</v>
      </c>
    </row>
    <row r="504" spans="2:3" x14ac:dyDescent="0.25">
      <c r="B504" s="4">
        <v>5.0199999999999996</v>
      </c>
      <c r="C504" s="42">
        <f t="shared" si="7"/>
        <v>-2.8049999999999988</v>
      </c>
    </row>
    <row r="505" spans="2:3" x14ac:dyDescent="0.25">
      <c r="B505" s="4">
        <v>5.03</v>
      </c>
      <c r="C505" s="42">
        <f t="shared" si="7"/>
        <v>-2.8325000000000005</v>
      </c>
    </row>
    <row r="506" spans="2:3" x14ac:dyDescent="0.25">
      <c r="B506" s="4">
        <v>5.04</v>
      </c>
      <c r="C506" s="42">
        <f t="shared" si="7"/>
        <v>-2.8600000000000003</v>
      </c>
    </row>
    <row r="507" spans="2:3" x14ac:dyDescent="0.25">
      <c r="B507" s="4">
        <v>5.05</v>
      </c>
      <c r="C507" s="42">
        <f t="shared" si="7"/>
        <v>-2.8874999999999993</v>
      </c>
    </row>
    <row r="508" spans="2:3" x14ac:dyDescent="0.25">
      <c r="B508" s="4">
        <v>5.0599999999999996</v>
      </c>
      <c r="C508" s="42">
        <f t="shared" si="7"/>
        <v>-2.9149999999999991</v>
      </c>
    </row>
    <row r="509" spans="2:3" x14ac:dyDescent="0.25">
      <c r="B509" s="4">
        <v>5.07</v>
      </c>
      <c r="C509" s="42">
        <f t="shared" si="7"/>
        <v>-2.9425000000000008</v>
      </c>
    </row>
    <row r="510" spans="2:3" x14ac:dyDescent="0.25">
      <c r="B510" s="4">
        <v>5.08</v>
      </c>
      <c r="C510" s="42">
        <f t="shared" si="7"/>
        <v>-2.97</v>
      </c>
    </row>
    <row r="511" spans="2:3" x14ac:dyDescent="0.25">
      <c r="B511" s="4">
        <v>5.09</v>
      </c>
      <c r="C511" s="42">
        <f t="shared" si="7"/>
        <v>-2.9974999999999996</v>
      </c>
    </row>
    <row r="512" spans="2:3" x14ac:dyDescent="0.25">
      <c r="B512" s="4">
        <v>5.0999999999999996</v>
      </c>
      <c r="C512" s="42">
        <f t="shared" si="7"/>
        <v>-3.024999999999999</v>
      </c>
    </row>
    <row r="513" spans="2:3" x14ac:dyDescent="0.25">
      <c r="B513" s="4">
        <v>5.1100000000000003</v>
      </c>
      <c r="C513" s="42">
        <f t="shared" si="7"/>
        <v>-3.0525000000000011</v>
      </c>
    </row>
    <row r="514" spans="2:3" x14ac:dyDescent="0.25">
      <c r="B514" s="4">
        <v>5.12</v>
      </c>
      <c r="C514" s="42">
        <f t="shared" si="7"/>
        <v>-3.08</v>
      </c>
    </row>
    <row r="515" spans="2:3" x14ac:dyDescent="0.25">
      <c r="B515" s="4">
        <v>5.13</v>
      </c>
      <c r="C515" s="42">
        <f t="shared" si="7"/>
        <v>-3.1074999999999999</v>
      </c>
    </row>
    <row r="516" spans="2:3" x14ac:dyDescent="0.25">
      <c r="B516" s="4">
        <v>5.14</v>
      </c>
      <c r="C516" s="42">
        <f t="shared" ref="C516:C579" si="8">11*(1-(B516/2*0.5))</f>
        <v>-3.1349999999999989</v>
      </c>
    </row>
    <row r="517" spans="2:3" x14ac:dyDescent="0.25">
      <c r="B517" s="4">
        <v>5.15</v>
      </c>
      <c r="C517" s="42">
        <f t="shared" si="8"/>
        <v>-3.162500000000001</v>
      </c>
    </row>
    <row r="518" spans="2:3" x14ac:dyDescent="0.25">
      <c r="B518" s="4">
        <v>5.16</v>
      </c>
      <c r="C518" s="42">
        <f t="shared" si="8"/>
        <v>-3.1900000000000004</v>
      </c>
    </row>
    <row r="519" spans="2:3" x14ac:dyDescent="0.25">
      <c r="B519" s="4">
        <v>5.17</v>
      </c>
      <c r="C519" s="42">
        <f t="shared" si="8"/>
        <v>-3.2174999999999998</v>
      </c>
    </row>
    <row r="520" spans="2:3" x14ac:dyDescent="0.25">
      <c r="B520" s="4">
        <v>5.18</v>
      </c>
      <c r="C520" s="42">
        <f t="shared" si="8"/>
        <v>-3.2449999999999992</v>
      </c>
    </row>
    <row r="521" spans="2:3" x14ac:dyDescent="0.25">
      <c r="B521" s="4">
        <v>5.19</v>
      </c>
      <c r="C521" s="42">
        <f t="shared" si="8"/>
        <v>-3.2725000000000009</v>
      </c>
    </row>
    <row r="522" spans="2:3" x14ac:dyDescent="0.25">
      <c r="B522" s="4">
        <v>5.2</v>
      </c>
      <c r="C522" s="42">
        <f t="shared" si="8"/>
        <v>-3.3000000000000007</v>
      </c>
    </row>
    <row r="523" spans="2:3" x14ac:dyDescent="0.25">
      <c r="B523" s="4">
        <v>5.21</v>
      </c>
      <c r="C523" s="42">
        <f t="shared" si="8"/>
        <v>-3.3274999999999997</v>
      </c>
    </row>
    <row r="524" spans="2:3" x14ac:dyDescent="0.25">
      <c r="B524" s="4">
        <v>5.22</v>
      </c>
      <c r="C524" s="42">
        <f t="shared" si="8"/>
        <v>-3.3549999999999995</v>
      </c>
    </row>
    <row r="525" spans="2:3" x14ac:dyDescent="0.25">
      <c r="B525" s="4">
        <v>5.23</v>
      </c>
      <c r="C525" s="42">
        <f t="shared" si="8"/>
        <v>-3.3825000000000012</v>
      </c>
    </row>
    <row r="526" spans="2:3" x14ac:dyDescent="0.25">
      <c r="B526" s="4">
        <v>5.24</v>
      </c>
      <c r="C526" s="42">
        <f t="shared" si="8"/>
        <v>-3.4100000000000006</v>
      </c>
    </row>
    <row r="527" spans="2:3" x14ac:dyDescent="0.25">
      <c r="B527" s="4">
        <v>5.25</v>
      </c>
      <c r="C527" s="42">
        <f t="shared" si="8"/>
        <v>-3.4375</v>
      </c>
    </row>
    <row r="528" spans="2:3" x14ac:dyDescent="0.25">
      <c r="B528" s="4">
        <v>5.26</v>
      </c>
      <c r="C528" s="42">
        <f t="shared" si="8"/>
        <v>-3.4649999999999994</v>
      </c>
    </row>
    <row r="529" spans="2:3" x14ac:dyDescent="0.25">
      <c r="B529" s="4">
        <v>5.27</v>
      </c>
      <c r="C529" s="42">
        <f t="shared" si="8"/>
        <v>-3.4924999999999988</v>
      </c>
    </row>
    <row r="530" spans="2:3" x14ac:dyDescent="0.25">
      <c r="B530" s="4">
        <v>5.28</v>
      </c>
      <c r="C530" s="42">
        <f t="shared" si="8"/>
        <v>-3.5200000000000005</v>
      </c>
    </row>
    <row r="531" spans="2:3" x14ac:dyDescent="0.25">
      <c r="B531" s="4">
        <v>5.29</v>
      </c>
      <c r="C531" s="42">
        <f t="shared" si="8"/>
        <v>-3.5475000000000003</v>
      </c>
    </row>
    <row r="532" spans="2:3" x14ac:dyDescent="0.25">
      <c r="B532" s="4">
        <v>5.3</v>
      </c>
      <c r="C532" s="42">
        <f t="shared" si="8"/>
        <v>-3.5749999999999993</v>
      </c>
    </row>
    <row r="533" spans="2:3" x14ac:dyDescent="0.25">
      <c r="B533" s="4">
        <v>5.31</v>
      </c>
      <c r="C533" s="42">
        <f t="shared" si="8"/>
        <v>-3.6024999999999991</v>
      </c>
    </row>
    <row r="534" spans="2:3" x14ac:dyDescent="0.25">
      <c r="B534" s="4">
        <v>5.32</v>
      </c>
      <c r="C534" s="42">
        <f t="shared" si="8"/>
        <v>-3.6300000000000008</v>
      </c>
    </row>
    <row r="535" spans="2:3" x14ac:dyDescent="0.25">
      <c r="B535" s="4">
        <v>5.33</v>
      </c>
      <c r="C535" s="42">
        <f t="shared" si="8"/>
        <v>-3.6575000000000002</v>
      </c>
    </row>
    <row r="536" spans="2:3" x14ac:dyDescent="0.25">
      <c r="B536" s="4">
        <v>5.34</v>
      </c>
      <c r="C536" s="42">
        <f t="shared" si="8"/>
        <v>-3.6849999999999996</v>
      </c>
    </row>
    <row r="537" spans="2:3" x14ac:dyDescent="0.25">
      <c r="B537" s="4">
        <v>5.35</v>
      </c>
      <c r="C537" s="42">
        <f t="shared" si="8"/>
        <v>-3.712499999999999</v>
      </c>
    </row>
    <row r="538" spans="2:3" x14ac:dyDescent="0.25">
      <c r="B538" s="4">
        <v>5.36</v>
      </c>
      <c r="C538" s="42">
        <f t="shared" si="8"/>
        <v>-3.7400000000000011</v>
      </c>
    </row>
    <row r="539" spans="2:3" x14ac:dyDescent="0.25">
      <c r="B539" s="4">
        <v>5.37</v>
      </c>
      <c r="C539" s="42">
        <f t="shared" si="8"/>
        <v>-3.7675000000000001</v>
      </c>
    </row>
    <row r="540" spans="2:3" x14ac:dyDescent="0.25">
      <c r="B540" s="4">
        <v>5.38</v>
      </c>
      <c r="C540" s="42">
        <f t="shared" si="8"/>
        <v>-3.7949999999999999</v>
      </c>
    </row>
    <row r="541" spans="2:3" x14ac:dyDescent="0.25">
      <c r="B541" s="4">
        <v>5.39</v>
      </c>
      <c r="C541" s="42">
        <f t="shared" si="8"/>
        <v>-3.8224999999999989</v>
      </c>
    </row>
    <row r="542" spans="2:3" x14ac:dyDescent="0.25">
      <c r="B542" s="4">
        <v>5.4</v>
      </c>
      <c r="C542" s="42">
        <f t="shared" si="8"/>
        <v>-3.850000000000001</v>
      </c>
    </row>
    <row r="543" spans="2:3" x14ac:dyDescent="0.25">
      <c r="B543" s="4">
        <v>5.41</v>
      </c>
      <c r="C543" s="42">
        <f t="shared" si="8"/>
        <v>-3.8775000000000004</v>
      </c>
    </row>
    <row r="544" spans="2:3" x14ac:dyDescent="0.25">
      <c r="B544" s="4">
        <v>5.42</v>
      </c>
      <c r="C544" s="42">
        <f t="shared" si="8"/>
        <v>-3.9049999999999998</v>
      </c>
    </row>
    <row r="545" spans="2:3" x14ac:dyDescent="0.25">
      <c r="B545" s="4">
        <v>5.43</v>
      </c>
      <c r="C545" s="42">
        <f t="shared" si="8"/>
        <v>-3.9324999999999992</v>
      </c>
    </row>
    <row r="546" spans="2:3" x14ac:dyDescent="0.25">
      <c r="B546" s="4">
        <v>5.44</v>
      </c>
      <c r="C546" s="42">
        <f t="shared" si="8"/>
        <v>-3.9600000000000009</v>
      </c>
    </row>
    <row r="547" spans="2:3" x14ac:dyDescent="0.25">
      <c r="B547" s="4">
        <v>5.45</v>
      </c>
      <c r="C547" s="42">
        <f t="shared" si="8"/>
        <v>-3.9875000000000007</v>
      </c>
    </row>
    <row r="548" spans="2:3" x14ac:dyDescent="0.25">
      <c r="B548" s="4">
        <v>5.46</v>
      </c>
      <c r="C548" s="42">
        <f t="shared" si="8"/>
        <v>-4.0149999999999997</v>
      </c>
    </row>
    <row r="549" spans="2:3" x14ac:dyDescent="0.25">
      <c r="B549" s="4">
        <v>5.47</v>
      </c>
      <c r="C549" s="42">
        <f t="shared" si="8"/>
        <v>-4.0424999999999995</v>
      </c>
    </row>
    <row r="550" spans="2:3" x14ac:dyDescent="0.25">
      <c r="B550" s="4">
        <v>5.48</v>
      </c>
      <c r="C550" s="42">
        <f t="shared" si="8"/>
        <v>-4.0700000000000012</v>
      </c>
    </row>
    <row r="551" spans="2:3" x14ac:dyDescent="0.25">
      <c r="B551" s="4">
        <v>5.49</v>
      </c>
      <c r="C551" s="42">
        <f t="shared" si="8"/>
        <v>-4.0975000000000001</v>
      </c>
    </row>
    <row r="552" spans="2:3" x14ac:dyDescent="0.25">
      <c r="B552" s="4">
        <v>5.5</v>
      </c>
      <c r="C552" s="42">
        <f t="shared" si="8"/>
        <v>-4.125</v>
      </c>
    </row>
    <row r="553" spans="2:3" x14ac:dyDescent="0.25">
      <c r="B553" s="4">
        <v>5.51</v>
      </c>
      <c r="C553" s="42">
        <f t="shared" si="8"/>
        <v>-4.1524999999999999</v>
      </c>
    </row>
    <row r="554" spans="2:3" x14ac:dyDescent="0.25">
      <c r="B554" s="4">
        <v>5.52</v>
      </c>
      <c r="C554" s="42">
        <f t="shared" si="8"/>
        <v>-4.1799999999999988</v>
      </c>
    </row>
    <row r="555" spans="2:3" x14ac:dyDescent="0.25">
      <c r="B555" s="4">
        <v>5.53</v>
      </c>
      <c r="C555" s="42">
        <f t="shared" si="8"/>
        <v>-4.2075000000000005</v>
      </c>
    </row>
    <row r="556" spans="2:3" x14ac:dyDescent="0.25">
      <c r="B556" s="4">
        <v>5.54</v>
      </c>
      <c r="C556" s="42">
        <f t="shared" si="8"/>
        <v>-4.2350000000000003</v>
      </c>
    </row>
    <row r="557" spans="2:3" x14ac:dyDescent="0.25">
      <c r="B557" s="4">
        <v>5.55</v>
      </c>
      <c r="C557" s="42">
        <f t="shared" si="8"/>
        <v>-4.2624999999999993</v>
      </c>
    </row>
    <row r="558" spans="2:3" x14ac:dyDescent="0.25">
      <c r="B558" s="4">
        <v>5.56</v>
      </c>
      <c r="C558" s="42">
        <f t="shared" si="8"/>
        <v>-4.2899999999999991</v>
      </c>
    </row>
    <row r="559" spans="2:3" x14ac:dyDescent="0.25">
      <c r="B559" s="4">
        <v>5.57</v>
      </c>
      <c r="C559" s="42">
        <f t="shared" si="8"/>
        <v>-4.3175000000000008</v>
      </c>
    </row>
    <row r="560" spans="2:3" x14ac:dyDescent="0.25">
      <c r="B560" s="4">
        <v>5.58</v>
      </c>
      <c r="C560" s="42">
        <f t="shared" si="8"/>
        <v>-4.3450000000000006</v>
      </c>
    </row>
    <row r="561" spans="2:3" x14ac:dyDescent="0.25">
      <c r="B561" s="4">
        <v>5.59</v>
      </c>
      <c r="C561" s="42">
        <f t="shared" si="8"/>
        <v>-4.3724999999999996</v>
      </c>
    </row>
    <row r="562" spans="2:3" x14ac:dyDescent="0.25">
      <c r="B562" s="4">
        <v>5.6</v>
      </c>
      <c r="C562" s="42">
        <f t="shared" si="8"/>
        <v>-4.3999999999999986</v>
      </c>
    </row>
    <row r="563" spans="2:3" x14ac:dyDescent="0.25">
      <c r="B563" s="4">
        <v>5.61</v>
      </c>
      <c r="C563" s="42">
        <f t="shared" si="8"/>
        <v>-4.4275000000000011</v>
      </c>
    </row>
    <row r="564" spans="2:3" x14ac:dyDescent="0.25">
      <c r="B564" s="4">
        <v>5.62</v>
      </c>
      <c r="C564" s="42">
        <f t="shared" si="8"/>
        <v>-4.4550000000000001</v>
      </c>
    </row>
    <row r="565" spans="2:3" x14ac:dyDescent="0.25">
      <c r="B565" s="4">
        <v>5.63</v>
      </c>
      <c r="C565" s="42">
        <f t="shared" si="8"/>
        <v>-4.4824999999999999</v>
      </c>
    </row>
    <row r="566" spans="2:3" x14ac:dyDescent="0.25">
      <c r="B566" s="4">
        <v>5.64</v>
      </c>
      <c r="C566" s="42">
        <f t="shared" si="8"/>
        <v>-4.5099999999999989</v>
      </c>
    </row>
    <row r="567" spans="2:3" x14ac:dyDescent="0.25">
      <c r="B567" s="4">
        <v>5.65</v>
      </c>
      <c r="C567" s="42">
        <f t="shared" si="8"/>
        <v>-4.5375000000000014</v>
      </c>
    </row>
    <row r="568" spans="2:3" x14ac:dyDescent="0.25">
      <c r="B568" s="4">
        <v>5.66</v>
      </c>
      <c r="C568" s="42">
        <f t="shared" si="8"/>
        <v>-4.5650000000000004</v>
      </c>
    </row>
    <row r="569" spans="2:3" x14ac:dyDescent="0.25">
      <c r="B569" s="4">
        <v>5.67</v>
      </c>
      <c r="C569" s="42">
        <f t="shared" si="8"/>
        <v>-4.5924999999999994</v>
      </c>
    </row>
    <row r="570" spans="2:3" x14ac:dyDescent="0.25">
      <c r="B570" s="4">
        <v>5.68</v>
      </c>
      <c r="C570" s="42">
        <f t="shared" si="8"/>
        <v>-4.6199999999999992</v>
      </c>
    </row>
    <row r="571" spans="2:3" x14ac:dyDescent="0.25">
      <c r="B571" s="4">
        <v>5.69</v>
      </c>
      <c r="C571" s="42">
        <f t="shared" si="8"/>
        <v>-4.6475000000000009</v>
      </c>
    </row>
    <row r="572" spans="2:3" x14ac:dyDescent="0.25">
      <c r="B572" s="4">
        <v>5.7</v>
      </c>
      <c r="C572" s="42">
        <f t="shared" si="8"/>
        <v>-4.6750000000000007</v>
      </c>
    </row>
    <row r="573" spans="2:3" x14ac:dyDescent="0.25">
      <c r="B573" s="4">
        <v>5.71</v>
      </c>
      <c r="C573" s="42">
        <f t="shared" si="8"/>
        <v>-4.7024999999999997</v>
      </c>
    </row>
    <row r="574" spans="2:3" x14ac:dyDescent="0.25">
      <c r="B574" s="4">
        <v>5.72</v>
      </c>
      <c r="C574" s="42">
        <f t="shared" si="8"/>
        <v>-4.7299999999999995</v>
      </c>
    </row>
    <row r="575" spans="2:3" x14ac:dyDescent="0.25">
      <c r="B575" s="4">
        <v>5.73</v>
      </c>
      <c r="C575" s="42">
        <f t="shared" si="8"/>
        <v>-4.7575000000000012</v>
      </c>
    </row>
    <row r="576" spans="2:3" x14ac:dyDescent="0.25">
      <c r="B576" s="4">
        <v>5.74</v>
      </c>
      <c r="C576" s="42">
        <f t="shared" si="8"/>
        <v>-4.7850000000000001</v>
      </c>
    </row>
    <row r="577" spans="2:3" x14ac:dyDescent="0.25">
      <c r="B577" s="4">
        <v>5.75</v>
      </c>
      <c r="C577" s="42">
        <f t="shared" si="8"/>
        <v>-4.8125</v>
      </c>
    </row>
    <row r="578" spans="2:3" x14ac:dyDescent="0.25">
      <c r="B578" s="4">
        <v>5.76</v>
      </c>
      <c r="C578" s="42">
        <f t="shared" si="8"/>
        <v>-4.84</v>
      </c>
    </row>
    <row r="579" spans="2:3" x14ac:dyDescent="0.25">
      <c r="B579" s="4">
        <v>5.77</v>
      </c>
      <c r="C579" s="42">
        <f t="shared" si="8"/>
        <v>-4.8674999999999988</v>
      </c>
    </row>
    <row r="580" spans="2:3" x14ac:dyDescent="0.25">
      <c r="B580" s="4">
        <v>5.78</v>
      </c>
      <c r="C580" s="42">
        <f t="shared" ref="C580:C643" si="9">11*(1-(B580/2*0.5))</f>
        <v>-4.8950000000000005</v>
      </c>
    </row>
    <row r="581" spans="2:3" x14ac:dyDescent="0.25">
      <c r="B581" s="4">
        <v>5.79</v>
      </c>
      <c r="C581" s="42">
        <f t="shared" si="9"/>
        <v>-4.9225000000000003</v>
      </c>
    </row>
    <row r="582" spans="2:3" x14ac:dyDescent="0.25">
      <c r="B582" s="4">
        <v>5.8</v>
      </c>
      <c r="C582" s="42">
        <f t="shared" si="9"/>
        <v>-4.9499999999999993</v>
      </c>
    </row>
    <row r="583" spans="2:3" x14ac:dyDescent="0.25">
      <c r="B583" s="4">
        <v>5.81</v>
      </c>
      <c r="C583" s="42">
        <f t="shared" si="9"/>
        <v>-4.9774999999999991</v>
      </c>
    </row>
    <row r="584" spans="2:3" x14ac:dyDescent="0.25">
      <c r="B584" s="4">
        <v>5.82</v>
      </c>
      <c r="C584" s="42">
        <f t="shared" si="9"/>
        <v>-5.0050000000000008</v>
      </c>
    </row>
    <row r="585" spans="2:3" x14ac:dyDescent="0.25">
      <c r="B585" s="4">
        <v>5.83</v>
      </c>
      <c r="C585" s="42">
        <f t="shared" si="9"/>
        <v>-5.0325000000000006</v>
      </c>
    </row>
    <row r="586" spans="2:3" x14ac:dyDescent="0.25">
      <c r="B586" s="4">
        <v>5.84</v>
      </c>
      <c r="C586" s="42">
        <f t="shared" si="9"/>
        <v>-5.0599999999999996</v>
      </c>
    </row>
    <row r="587" spans="2:3" x14ac:dyDescent="0.25">
      <c r="B587" s="4">
        <v>5.85</v>
      </c>
      <c r="C587" s="42">
        <f t="shared" si="9"/>
        <v>-5.0874999999999986</v>
      </c>
    </row>
    <row r="588" spans="2:3" x14ac:dyDescent="0.25">
      <c r="B588" s="4">
        <v>5.86</v>
      </c>
      <c r="C588" s="42">
        <f t="shared" si="9"/>
        <v>-5.1150000000000011</v>
      </c>
    </row>
    <row r="589" spans="2:3" x14ac:dyDescent="0.25">
      <c r="B589" s="4">
        <v>5.87</v>
      </c>
      <c r="C589" s="42">
        <f t="shared" si="9"/>
        <v>-5.1425000000000001</v>
      </c>
    </row>
    <row r="590" spans="2:3" x14ac:dyDescent="0.25">
      <c r="B590" s="4">
        <v>5.88</v>
      </c>
      <c r="C590" s="42">
        <f t="shared" si="9"/>
        <v>-5.17</v>
      </c>
    </row>
    <row r="591" spans="2:3" x14ac:dyDescent="0.25">
      <c r="B591" s="4">
        <v>5.89</v>
      </c>
      <c r="C591" s="42">
        <f t="shared" si="9"/>
        <v>-5.1974999999999989</v>
      </c>
    </row>
    <row r="592" spans="2:3" x14ac:dyDescent="0.25">
      <c r="B592" s="4">
        <v>5.9</v>
      </c>
      <c r="C592" s="42">
        <f t="shared" si="9"/>
        <v>-5.2250000000000014</v>
      </c>
    </row>
    <row r="593" spans="2:3" x14ac:dyDescent="0.25">
      <c r="B593" s="4">
        <v>5.91</v>
      </c>
      <c r="C593" s="42">
        <f t="shared" si="9"/>
        <v>-5.2525000000000004</v>
      </c>
    </row>
    <row r="594" spans="2:3" x14ac:dyDescent="0.25">
      <c r="B594" s="4">
        <v>5.92</v>
      </c>
      <c r="C594" s="42">
        <f t="shared" si="9"/>
        <v>-5.2799999999999994</v>
      </c>
    </row>
    <row r="595" spans="2:3" x14ac:dyDescent="0.25">
      <c r="B595" s="4">
        <v>5.93</v>
      </c>
      <c r="C595" s="42">
        <f t="shared" si="9"/>
        <v>-5.3074999999999992</v>
      </c>
    </row>
    <row r="596" spans="2:3" x14ac:dyDescent="0.25">
      <c r="B596" s="4">
        <v>5.94</v>
      </c>
      <c r="C596" s="42">
        <f t="shared" si="9"/>
        <v>-5.3350000000000009</v>
      </c>
    </row>
    <row r="597" spans="2:3" x14ac:dyDescent="0.25">
      <c r="B597" s="4">
        <v>5.95</v>
      </c>
      <c r="C597" s="42">
        <f t="shared" si="9"/>
        <v>-5.3625000000000007</v>
      </c>
    </row>
    <row r="598" spans="2:3" x14ac:dyDescent="0.25">
      <c r="B598" s="4">
        <v>5.96</v>
      </c>
      <c r="C598" s="42">
        <f t="shared" si="9"/>
        <v>-5.39</v>
      </c>
    </row>
    <row r="599" spans="2:3" x14ac:dyDescent="0.25">
      <c r="B599" s="4">
        <v>5.97</v>
      </c>
      <c r="C599" s="42">
        <f t="shared" si="9"/>
        <v>-5.4174999999999995</v>
      </c>
    </row>
    <row r="600" spans="2:3" x14ac:dyDescent="0.25">
      <c r="B600" s="4">
        <v>5.98</v>
      </c>
      <c r="C600" s="42">
        <f t="shared" si="9"/>
        <v>-5.4450000000000012</v>
      </c>
    </row>
    <row r="601" spans="2:3" x14ac:dyDescent="0.25">
      <c r="B601" s="4">
        <v>5.99</v>
      </c>
      <c r="C601" s="42">
        <f t="shared" si="9"/>
        <v>-5.4725000000000001</v>
      </c>
    </row>
    <row r="602" spans="2:3" x14ac:dyDescent="0.25">
      <c r="B602" s="4">
        <v>6</v>
      </c>
      <c r="C602" s="42">
        <f t="shared" si="9"/>
        <v>-5.5</v>
      </c>
    </row>
    <row r="603" spans="2:3" x14ac:dyDescent="0.25">
      <c r="B603" s="4">
        <v>6.01</v>
      </c>
      <c r="C603" s="42">
        <f t="shared" si="9"/>
        <v>-5.5274999999999999</v>
      </c>
    </row>
    <row r="604" spans="2:3" x14ac:dyDescent="0.25">
      <c r="B604" s="4">
        <v>6.02</v>
      </c>
      <c r="C604" s="42">
        <f t="shared" si="9"/>
        <v>-5.5549999999999988</v>
      </c>
    </row>
    <row r="605" spans="2:3" x14ac:dyDescent="0.25">
      <c r="B605" s="4">
        <v>6.03</v>
      </c>
      <c r="C605" s="42">
        <f t="shared" si="9"/>
        <v>-5.5825000000000005</v>
      </c>
    </row>
    <row r="606" spans="2:3" x14ac:dyDescent="0.25">
      <c r="B606" s="4">
        <v>6.04</v>
      </c>
      <c r="C606" s="42">
        <f t="shared" si="9"/>
        <v>-5.61</v>
      </c>
    </row>
    <row r="607" spans="2:3" x14ac:dyDescent="0.25">
      <c r="B607" s="4">
        <v>6.05</v>
      </c>
      <c r="C607" s="42">
        <f t="shared" si="9"/>
        <v>-5.6374999999999993</v>
      </c>
    </row>
    <row r="608" spans="2:3" x14ac:dyDescent="0.25">
      <c r="B608" s="4">
        <v>6.06</v>
      </c>
      <c r="C608" s="42">
        <f t="shared" si="9"/>
        <v>-5.6649999999999991</v>
      </c>
    </row>
    <row r="609" spans="2:3" x14ac:dyDescent="0.25">
      <c r="B609" s="4">
        <v>6.07</v>
      </c>
      <c r="C609" s="42">
        <f t="shared" si="9"/>
        <v>-5.6925000000000008</v>
      </c>
    </row>
    <row r="610" spans="2:3" x14ac:dyDescent="0.25">
      <c r="B610" s="4">
        <v>6.08</v>
      </c>
      <c r="C610" s="42">
        <f t="shared" si="9"/>
        <v>-5.7200000000000006</v>
      </c>
    </row>
    <row r="611" spans="2:3" x14ac:dyDescent="0.25">
      <c r="B611" s="4">
        <v>6.09</v>
      </c>
      <c r="C611" s="42">
        <f t="shared" si="9"/>
        <v>-5.7474999999999996</v>
      </c>
    </row>
    <row r="612" spans="2:3" x14ac:dyDescent="0.25">
      <c r="B612" s="4">
        <v>6.1</v>
      </c>
      <c r="C612" s="42">
        <f t="shared" si="9"/>
        <v>-5.7749999999999986</v>
      </c>
    </row>
    <row r="613" spans="2:3" x14ac:dyDescent="0.25">
      <c r="B613" s="4">
        <v>6.11</v>
      </c>
      <c r="C613" s="42">
        <f t="shared" si="9"/>
        <v>-5.8025000000000011</v>
      </c>
    </row>
    <row r="614" spans="2:3" x14ac:dyDescent="0.25">
      <c r="B614" s="4">
        <v>6.12</v>
      </c>
      <c r="C614" s="42">
        <f t="shared" si="9"/>
        <v>-5.83</v>
      </c>
    </row>
    <row r="615" spans="2:3" x14ac:dyDescent="0.25">
      <c r="B615" s="4">
        <v>6.13</v>
      </c>
      <c r="C615" s="42">
        <f t="shared" si="9"/>
        <v>-5.8574999999999999</v>
      </c>
    </row>
    <row r="616" spans="2:3" x14ac:dyDescent="0.25">
      <c r="B616" s="4">
        <v>6.14</v>
      </c>
      <c r="C616" s="42">
        <f t="shared" si="9"/>
        <v>-5.8849999999999989</v>
      </c>
    </row>
    <row r="617" spans="2:3" x14ac:dyDescent="0.25">
      <c r="B617" s="4">
        <v>6.15</v>
      </c>
      <c r="C617" s="42">
        <f t="shared" si="9"/>
        <v>-5.9125000000000014</v>
      </c>
    </row>
    <row r="618" spans="2:3" x14ac:dyDescent="0.25">
      <c r="B618" s="4">
        <v>6.16</v>
      </c>
      <c r="C618" s="42">
        <f t="shared" si="9"/>
        <v>-5.94</v>
      </c>
    </row>
    <row r="619" spans="2:3" x14ac:dyDescent="0.25">
      <c r="B619" s="4">
        <v>6.17</v>
      </c>
      <c r="C619" s="42">
        <f t="shared" si="9"/>
        <v>-5.9674999999999994</v>
      </c>
    </row>
    <row r="620" spans="2:3" x14ac:dyDescent="0.25">
      <c r="B620" s="4">
        <v>6.18</v>
      </c>
      <c r="C620" s="42">
        <f t="shared" si="9"/>
        <v>-5.9949999999999992</v>
      </c>
    </row>
    <row r="621" spans="2:3" x14ac:dyDescent="0.25">
      <c r="B621" s="4">
        <v>6.19</v>
      </c>
      <c r="C621" s="42">
        <f t="shared" si="9"/>
        <v>-6.0225000000000009</v>
      </c>
    </row>
    <row r="622" spans="2:3" x14ac:dyDescent="0.25">
      <c r="B622" s="4">
        <v>6.2</v>
      </c>
      <c r="C622" s="42">
        <f t="shared" si="9"/>
        <v>-6.0500000000000007</v>
      </c>
    </row>
    <row r="623" spans="2:3" x14ac:dyDescent="0.25">
      <c r="B623" s="4">
        <v>6.21</v>
      </c>
      <c r="C623" s="42">
        <f t="shared" si="9"/>
        <v>-6.0774999999999997</v>
      </c>
    </row>
    <row r="624" spans="2:3" x14ac:dyDescent="0.25">
      <c r="B624" s="4">
        <v>6.22</v>
      </c>
      <c r="C624" s="42">
        <f t="shared" si="9"/>
        <v>-6.1049999999999995</v>
      </c>
    </row>
    <row r="625" spans="2:3" x14ac:dyDescent="0.25">
      <c r="B625" s="4">
        <v>6.23</v>
      </c>
      <c r="C625" s="42">
        <f t="shared" si="9"/>
        <v>-6.1325000000000012</v>
      </c>
    </row>
    <row r="626" spans="2:3" x14ac:dyDescent="0.25">
      <c r="B626" s="4">
        <v>6.24</v>
      </c>
      <c r="C626" s="42">
        <f t="shared" si="9"/>
        <v>-6.16</v>
      </c>
    </row>
    <row r="627" spans="2:3" x14ac:dyDescent="0.25">
      <c r="B627" s="4">
        <v>6.25</v>
      </c>
      <c r="C627" s="42">
        <f t="shared" si="9"/>
        <v>-6.1875</v>
      </c>
    </row>
    <row r="628" spans="2:3" x14ac:dyDescent="0.25">
      <c r="B628" s="4">
        <v>6.26</v>
      </c>
      <c r="C628" s="42">
        <f t="shared" si="9"/>
        <v>-6.2149999999999999</v>
      </c>
    </row>
    <row r="629" spans="2:3" x14ac:dyDescent="0.25">
      <c r="B629" s="4">
        <v>6.27</v>
      </c>
      <c r="C629" s="42">
        <f t="shared" si="9"/>
        <v>-6.2424999999999988</v>
      </c>
    </row>
    <row r="630" spans="2:3" x14ac:dyDescent="0.25">
      <c r="B630" s="4">
        <v>6.28</v>
      </c>
      <c r="C630" s="42">
        <f t="shared" si="9"/>
        <v>-6.2700000000000005</v>
      </c>
    </row>
    <row r="631" spans="2:3" x14ac:dyDescent="0.25">
      <c r="B631" s="4">
        <v>6.29</v>
      </c>
      <c r="C631" s="42">
        <f t="shared" si="9"/>
        <v>-6.2975000000000003</v>
      </c>
    </row>
    <row r="632" spans="2:3" x14ac:dyDescent="0.25">
      <c r="B632" s="4">
        <v>6.3</v>
      </c>
      <c r="C632" s="42">
        <f t="shared" si="9"/>
        <v>-6.3249999999999993</v>
      </c>
    </row>
    <row r="633" spans="2:3" x14ac:dyDescent="0.25">
      <c r="B633" s="4">
        <v>6.31</v>
      </c>
      <c r="C633" s="42">
        <f t="shared" si="9"/>
        <v>-6.3524999999999991</v>
      </c>
    </row>
    <row r="634" spans="2:3" x14ac:dyDescent="0.25">
      <c r="B634" s="4">
        <v>6.32</v>
      </c>
      <c r="C634" s="42">
        <f t="shared" si="9"/>
        <v>-6.3800000000000008</v>
      </c>
    </row>
    <row r="635" spans="2:3" x14ac:dyDescent="0.25">
      <c r="B635" s="4">
        <v>6.33</v>
      </c>
      <c r="C635" s="42">
        <f t="shared" si="9"/>
        <v>-6.4075000000000006</v>
      </c>
    </row>
    <row r="636" spans="2:3" x14ac:dyDescent="0.25">
      <c r="B636" s="4">
        <v>6.34</v>
      </c>
      <c r="C636" s="42">
        <f t="shared" si="9"/>
        <v>-6.4349999999999996</v>
      </c>
    </row>
    <row r="637" spans="2:3" x14ac:dyDescent="0.25">
      <c r="B637" s="4">
        <v>6.35</v>
      </c>
      <c r="C637" s="42">
        <f t="shared" si="9"/>
        <v>-6.4624999999999986</v>
      </c>
    </row>
    <row r="638" spans="2:3" x14ac:dyDescent="0.25">
      <c r="B638" s="4">
        <v>6.36</v>
      </c>
      <c r="C638" s="42">
        <f t="shared" si="9"/>
        <v>-6.4900000000000011</v>
      </c>
    </row>
    <row r="639" spans="2:3" x14ac:dyDescent="0.25">
      <c r="B639" s="4">
        <v>6.37</v>
      </c>
      <c r="C639" s="42">
        <f t="shared" si="9"/>
        <v>-6.5175000000000001</v>
      </c>
    </row>
    <row r="640" spans="2:3" x14ac:dyDescent="0.25">
      <c r="B640" s="4">
        <v>6.38</v>
      </c>
      <c r="C640" s="42">
        <f t="shared" si="9"/>
        <v>-6.5449999999999999</v>
      </c>
    </row>
    <row r="641" spans="2:3" x14ac:dyDescent="0.25">
      <c r="B641" s="4">
        <v>6.39</v>
      </c>
      <c r="C641" s="42">
        <f t="shared" si="9"/>
        <v>-6.5724999999999989</v>
      </c>
    </row>
    <row r="642" spans="2:3" x14ac:dyDescent="0.25">
      <c r="B642" s="4">
        <v>6.4</v>
      </c>
      <c r="C642" s="42">
        <f t="shared" si="9"/>
        <v>-6.6000000000000014</v>
      </c>
    </row>
    <row r="643" spans="2:3" x14ac:dyDescent="0.25">
      <c r="B643" s="4">
        <v>6.41</v>
      </c>
      <c r="C643" s="42">
        <f t="shared" si="9"/>
        <v>-6.6275000000000004</v>
      </c>
    </row>
    <row r="644" spans="2:3" x14ac:dyDescent="0.25">
      <c r="B644" s="4">
        <v>6.42</v>
      </c>
      <c r="C644" s="42">
        <f t="shared" ref="C644:C707" si="10">11*(1-(B644/2*0.5))</f>
        <v>-6.6549999999999994</v>
      </c>
    </row>
    <row r="645" spans="2:3" x14ac:dyDescent="0.25">
      <c r="B645" s="4">
        <v>6.43</v>
      </c>
      <c r="C645" s="42">
        <f t="shared" si="10"/>
        <v>-6.6824999999999992</v>
      </c>
    </row>
    <row r="646" spans="2:3" x14ac:dyDescent="0.25">
      <c r="B646" s="4">
        <v>6.44</v>
      </c>
      <c r="C646" s="42">
        <f t="shared" si="10"/>
        <v>-6.7100000000000009</v>
      </c>
    </row>
    <row r="647" spans="2:3" x14ac:dyDescent="0.25">
      <c r="B647" s="4">
        <v>6.45</v>
      </c>
      <c r="C647" s="42">
        <f t="shared" si="10"/>
        <v>-6.7375000000000007</v>
      </c>
    </row>
    <row r="648" spans="2:3" x14ac:dyDescent="0.25">
      <c r="B648" s="4">
        <v>6.46</v>
      </c>
      <c r="C648" s="42">
        <f t="shared" si="10"/>
        <v>-6.7649999999999997</v>
      </c>
    </row>
    <row r="649" spans="2:3" x14ac:dyDescent="0.25">
      <c r="B649" s="4">
        <v>6.47</v>
      </c>
      <c r="C649" s="42">
        <f t="shared" si="10"/>
        <v>-6.7924999999999995</v>
      </c>
    </row>
    <row r="650" spans="2:3" x14ac:dyDescent="0.25">
      <c r="B650" s="4">
        <v>6.48</v>
      </c>
      <c r="C650" s="42">
        <f t="shared" si="10"/>
        <v>-6.8200000000000012</v>
      </c>
    </row>
    <row r="651" spans="2:3" x14ac:dyDescent="0.25">
      <c r="B651" s="4">
        <v>6.49</v>
      </c>
      <c r="C651" s="42">
        <f t="shared" si="10"/>
        <v>-6.8475000000000001</v>
      </c>
    </row>
    <row r="652" spans="2:3" x14ac:dyDescent="0.25">
      <c r="B652" s="4">
        <v>6.5</v>
      </c>
      <c r="C652" s="42">
        <f t="shared" si="10"/>
        <v>-6.875</v>
      </c>
    </row>
    <row r="653" spans="2:3" x14ac:dyDescent="0.25">
      <c r="B653" s="4">
        <v>6.51</v>
      </c>
      <c r="C653" s="42">
        <f t="shared" si="10"/>
        <v>-6.9024999999999999</v>
      </c>
    </row>
    <row r="654" spans="2:3" x14ac:dyDescent="0.25">
      <c r="B654" s="4">
        <v>6.52</v>
      </c>
      <c r="C654" s="42">
        <f t="shared" si="10"/>
        <v>-6.9299999999999988</v>
      </c>
    </row>
    <row r="655" spans="2:3" x14ac:dyDescent="0.25">
      <c r="B655" s="4">
        <v>6.53</v>
      </c>
      <c r="C655" s="42">
        <f t="shared" si="10"/>
        <v>-6.9575000000000005</v>
      </c>
    </row>
    <row r="656" spans="2:3" x14ac:dyDescent="0.25">
      <c r="B656" s="4">
        <v>6.54</v>
      </c>
      <c r="C656" s="42">
        <f t="shared" si="10"/>
        <v>-6.9850000000000003</v>
      </c>
    </row>
    <row r="657" spans="2:3" x14ac:dyDescent="0.25">
      <c r="B657" s="4">
        <v>6.55</v>
      </c>
      <c r="C657" s="42">
        <f t="shared" si="10"/>
        <v>-7.0124999999999993</v>
      </c>
    </row>
    <row r="658" spans="2:3" x14ac:dyDescent="0.25">
      <c r="B658" s="4">
        <v>6.56</v>
      </c>
      <c r="C658" s="42">
        <f t="shared" si="10"/>
        <v>-7.0399999999999991</v>
      </c>
    </row>
    <row r="659" spans="2:3" x14ac:dyDescent="0.25">
      <c r="B659" s="4">
        <v>6.57</v>
      </c>
      <c r="C659" s="42">
        <f t="shared" si="10"/>
        <v>-7.0675000000000008</v>
      </c>
    </row>
    <row r="660" spans="2:3" x14ac:dyDescent="0.25">
      <c r="B660" s="4">
        <v>6.58</v>
      </c>
      <c r="C660" s="42">
        <f t="shared" si="10"/>
        <v>-7.0950000000000006</v>
      </c>
    </row>
    <row r="661" spans="2:3" x14ac:dyDescent="0.25">
      <c r="B661" s="4">
        <v>6.59</v>
      </c>
      <c r="C661" s="42">
        <f t="shared" si="10"/>
        <v>-7.1224999999999996</v>
      </c>
    </row>
    <row r="662" spans="2:3" x14ac:dyDescent="0.25">
      <c r="B662" s="4">
        <v>6.6</v>
      </c>
      <c r="C662" s="42">
        <f t="shared" si="10"/>
        <v>-7.1499999999999986</v>
      </c>
    </row>
    <row r="663" spans="2:3" x14ac:dyDescent="0.25">
      <c r="B663" s="4">
        <v>6.61</v>
      </c>
      <c r="C663" s="42">
        <f t="shared" si="10"/>
        <v>-7.1775000000000011</v>
      </c>
    </row>
    <row r="664" spans="2:3" x14ac:dyDescent="0.25">
      <c r="B664" s="4">
        <v>6.62</v>
      </c>
      <c r="C664" s="42">
        <f t="shared" si="10"/>
        <v>-7.2050000000000001</v>
      </c>
    </row>
    <row r="665" spans="2:3" x14ac:dyDescent="0.25">
      <c r="B665" s="4">
        <v>6.63</v>
      </c>
      <c r="C665" s="42">
        <f t="shared" si="10"/>
        <v>-7.2324999999999999</v>
      </c>
    </row>
    <row r="666" spans="2:3" x14ac:dyDescent="0.25">
      <c r="B666" s="4">
        <v>6.64</v>
      </c>
      <c r="C666" s="42">
        <f t="shared" si="10"/>
        <v>-7.2599999999999989</v>
      </c>
    </row>
    <row r="667" spans="2:3" x14ac:dyDescent="0.25">
      <c r="B667" s="4">
        <v>6.65</v>
      </c>
      <c r="C667" s="42">
        <f t="shared" si="10"/>
        <v>-7.2875000000000014</v>
      </c>
    </row>
    <row r="668" spans="2:3" x14ac:dyDescent="0.25">
      <c r="B668" s="4">
        <v>6.66</v>
      </c>
      <c r="C668" s="42">
        <f t="shared" si="10"/>
        <v>-7.3150000000000004</v>
      </c>
    </row>
    <row r="669" spans="2:3" x14ac:dyDescent="0.25">
      <c r="B669" s="4">
        <v>6.67</v>
      </c>
      <c r="C669" s="42">
        <f t="shared" si="10"/>
        <v>-7.3424999999999994</v>
      </c>
    </row>
    <row r="670" spans="2:3" x14ac:dyDescent="0.25">
      <c r="B670" s="4">
        <v>6.68</v>
      </c>
      <c r="C670" s="42">
        <f t="shared" si="10"/>
        <v>-7.3699999999999992</v>
      </c>
    </row>
    <row r="671" spans="2:3" x14ac:dyDescent="0.25">
      <c r="B671" s="4">
        <v>6.69</v>
      </c>
      <c r="C671" s="42">
        <f t="shared" si="10"/>
        <v>-7.3975000000000009</v>
      </c>
    </row>
    <row r="672" spans="2:3" x14ac:dyDescent="0.25">
      <c r="B672" s="4">
        <v>6.7</v>
      </c>
      <c r="C672" s="42">
        <f t="shared" si="10"/>
        <v>-7.4250000000000007</v>
      </c>
    </row>
    <row r="673" spans="2:3" x14ac:dyDescent="0.25">
      <c r="B673" s="4">
        <v>6.71</v>
      </c>
      <c r="C673" s="42">
        <f t="shared" si="10"/>
        <v>-7.4524999999999997</v>
      </c>
    </row>
    <row r="674" spans="2:3" x14ac:dyDescent="0.25">
      <c r="B674" s="4">
        <v>6.72</v>
      </c>
      <c r="C674" s="42">
        <f t="shared" si="10"/>
        <v>-7.4799999999999995</v>
      </c>
    </row>
    <row r="675" spans="2:3" x14ac:dyDescent="0.25">
      <c r="B675" s="4">
        <v>6.73</v>
      </c>
      <c r="C675" s="42">
        <f t="shared" si="10"/>
        <v>-7.5075000000000012</v>
      </c>
    </row>
    <row r="676" spans="2:3" x14ac:dyDescent="0.25">
      <c r="B676" s="4">
        <v>6.74</v>
      </c>
      <c r="C676" s="42">
        <f t="shared" si="10"/>
        <v>-7.5350000000000001</v>
      </c>
    </row>
    <row r="677" spans="2:3" x14ac:dyDescent="0.25">
      <c r="B677" s="4">
        <v>6.75</v>
      </c>
      <c r="C677" s="42">
        <f t="shared" si="10"/>
        <v>-7.5625</v>
      </c>
    </row>
    <row r="678" spans="2:3" x14ac:dyDescent="0.25">
      <c r="B678" s="4">
        <v>6.76</v>
      </c>
      <c r="C678" s="42">
        <f t="shared" si="10"/>
        <v>-7.59</v>
      </c>
    </row>
    <row r="679" spans="2:3" x14ac:dyDescent="0.25">
      <c r="B679" s="4">
        <v>6.77</v>
      </c>
      <c r="C679" s="42">
        <f t="shared" si="10"/>
        <v>-7.6174999999999988</v>
      </c>
    </row>
    <row r="680" spans="2:3" x14ac:dyDescent="0.25">
      <c r="B680" s="4">
        <v>6.78</v>
      </c>
      <c r="C680" s="42">
        <f t="shared" si="10"/>
        <v>-7.6450000000000005</v>
      </c>
    </row>
    <row r="681" spans="2:3" x14ac:dyDescent="0.25">
      <c r="B681" s="4">
        <v>6.79</v>
      </c>
      <c r="C681" s="42">
        <f t="shared" si="10"/>
        <v>-7.6725000000000003</v>
      </c>
    </row>
    <row r="682" spans="2:3" x14ac:dyDescent="0.25">
      <c r="B682" s="4">
        <v>6.8</v>
      </c>
      <c r="C682" s="42">
        <f t="shared" si="10"/>
        <v>-7.6999999999999993</v>
      </c>
    </row>
    <row r="683" spans="2:3" x14ac:dyDescent="0.25">
      <c r="B683" s="4">
        <v>6.81</v>
      </c>
      <c r="C683" s="42">
        <f t="shared" si="10"/>
        <v>-7.7274999999999991</v>
      </c>
    </row>
    <row r="684" spans="2:3" x14ac:dyDescent="0.25">
      <c r="B684" s="4">
        <v>6.82</v>
      </c>
      <c r="C684" s="42">
        <f t="shared" si="10"/>
        <v>-7.7550000000000008</v>
      </c>
    </row>
    <row r="685" spans="2:3" x14ac:dyDescent="0.25">
      <c r="B685" s="4">
        <v>6.83</v>
      </c>
      <c r="C685" s="42">
        <f t="shared" si="10"/>
        <v>-7.7825000000000006</v>
      </c>
    </row>
    <row r="686" spans="2:3" x14ac:dyDescent="0.25">
      <c r="B686" s="4">
        <v>6.84</v>
      </c>
      <c r="C686" s="42">
        <f t="shared" si="10"/>
        <v>-7.81</v>
      </c>
    </row>
    <row r="687" spans="2:3" x14ac:dyDescent="0.25">
      <c r="B687" s="4">
        <v>6.85</v>
      </c>
      <c r="C687" s="42">
        <f t="shared" si="10"/>
        <v>-7.8374999999999986</v>
      </c>
    </row>
    <row r="688" spans="2:3" x14ac:dyDescent="0.25">
      <c r="B688" s="4">
        <v>6.86</v>
      </c>
      <c r="C688" s="42">
        <f t="shared" si="10"/>
        <v>-7.8650000000000011</v>
      </c>
    </row>
    <row r="689" spans="2:3" x14ac:dyDescent="0.25">
      <c r="B689" s="4">
        <v>6.87</v>
      </c>
      <c r="C689" s="42">
        <f t="shared" si="10"/>
        <v>-7.8925000000000001</v>
      </c>
    </row>
    <row r="690" spans="2:3" x14ac:dyDescent="0.25">
      <c r="B690" s="4">
        <v>6.88</v>
      </c>
      <c r="C690" s="42">
        <f t="shared" si="10"/>
        <v>-7.92</v>
      </c>
    </row>
    <row r="691" spans="2:3" x14ac:dyDescent="0.25">
      <c r="B691" s="4">
        <v>6.89</v>
      </c>
      <c r="C691" s="42">
        <f t="shared" si="10"/>
        <v>-7.9474999999999989</v>
      </c>
    </row>
    <row r="692" spans="2:3" x14ac:dyDescent="0.25">
      <c r="B692" s="4">
        <v>6.9</v>
      </c>
      <c r="C692" s="42">
        <f t="shared" si="10"/>
        <v>-7.9750000000000014</v>
      </c>
    </row>
    <row r="693" spans="2:3" x14ac:dyDescent="0.25">
      <c r="B693" s="4">
        <v>6.91</v>
      </c>
      <c r="C693" s="42">
        <f t="shared" si="10"/>
        <v>-8.0025000000000013</v>
      </c>
    </row>
    <row r="694" spans="2:3" x14ac:dyDescent="0.25">
      <c r="B694" s="4">
        <v>6.92</v>
      </c>
      <c r="C694" s="42">
        <f t="shared" si="10"/>
        <v>-8.0299999999999994</v>
      </c>
    </row>
    <row r="695" spans="2:3" x14ac:dyDescent="0.25">
      <c r="B695" s="4">
        <v>6.93</v>
      </c>
      <c r="C695" s="42">
        <f t="shared" si="10"/>
        <v>-8.0574999999999992</v>
      </c>
    </row>
    <row r="696" spans="2:3" x14ac:dyDescent="0.25">
      <c r="B696" s="4">
        <v>6.94</v>
      </c>
      <c r="C696" s="42">
        <f t="shared" si="10"/>
        <v>-8.0850000000000009</v>
      </c>
    </row>
    <row r="697" spans="2:3" x14ac:dyDescent="0.25">
      <c r="B697" s="4">
        <v>6.95</v>
      </c>
      <c r="C697" s="42">
        <f t="shared" si="10"/>
        <v>-8.1125000000000007</v>
      </c>
    </row>
    <row r="698" spans="2:3" x14ac:dyDescent="0.25">
      <c r="B698" s="4">
        <v>6.96</v>
      </c>
      <c r="C698" s="42">
        <f t="shared" si="10"/>
        <v>-8.14</v>
      </c>
    </row>
    <row r="699" spans="2:3" x14ac:dyDescent="0.25">
      <c r="B699" s="4">
        <v>6.97</v>
      </c>
      <c r="C699" s="42">
        <f t="shared" si="10"/>
        <v>-8.1674999999999986</v>
      </c>
    </row>
    <row r="700" spans="2:3" x14ac:dyDescent="0.25">
      <c r="B700" s="4">
        <v>6.98</v>
      </c>
      <c r="C700" s="42">
        <f t="shared" si="10"/>
        <v>-8.1950000000000003</v>
      </c>
    </row>
    <row r="701" spans="2:3" x14ac:dyDescent="0.25">
      <c r="B701" s="4">
        <v>6.99</v>
      </c>
      <c r="C701" s="42">
        <f t="shared" si="10"/>
        <v>-8.2225000000000001</v>
      </c>
    </row>
    <row r="702" spans="2:3" x14ac:dyDescent="0.25">
      <c r="B702" s="4">
        <v>7</v>
      </c>
      <c r="C702" s="42">
        <f t="shared" si="10"/>
        <v>-8.25</v>
      </c>
    </row>
    <row r="703" spans="2:3" x14ac:dyDescent="0.25">
      <c r="B703" s="4">
        <v>7.01</v>
      </c>
      <c r="C703" s="42">
        <f t="shared" si="10"/>
        <v>-8.2774999999999999</v>
      </c>
    </row>
    <row r="704" spans="2:3" x14ac:dyDescent="0.25">
      <c r="B704" s="4">
        <v>7.02</v>
      </c>
      <c r="C704" s="42">
        <f t="shared" si="10"/>
        <v>-8.3049999999999997</v>
      </c>
    </row>
    <row r="705" spans="2:3" x14ac:dyDescent="0.25">
      <c r="B705" s="4">
        <v>7.03</v>
      </c>
      <c r="C705" s="42">
        <f t="shared" si="10"/>
        <v>-8.3325000000000014</v>
      </c>
    </row>
    <row r="706" spans="2:3" x14ac:dyDescent="0.25">
      <c r="B706" s="4">
        <v>7.04</v>
      </c>
      <c r="C706" s="42">
        <f t="shared" si="10"/>
        <v>-8.36</v>
      </c>
    </row>
    <row r="707" spans="2:3" x14ac:dyDescent="0.25">
      <c r="B707" s="4">
        <v>7.05</v>
      </c>
      <c r="C707" s="42">
        <f t="shared" si="10"/>
        <v>-8.3874999999999993</v>
      </c>
    </row>
    <row r="708" spans="2:3" x14ac:dyDescent="0.25">
      <c r="B708" s="4">
        <v>7.06</v>
      </c>
      <c r="C708" s="42">
        <f t="shared" ref="C708:C771" si="11">11*(1-(B708/2*0.5))</f>
        <v>-8.4149999999999991</v>
      </c>
    </row>
    <row r="709" spans="2:3" x14ac:dyDescent="0.25">
      <c r="B709" s="4">
        <v>7.07</v>
      </c>
      <c r="C709" s="42">
        <f t="shared" si="11"/>
        <v>-8.4425000000000008</v>
      </c>
    </row>
    <row r="710" spans="2:3" x14ac:dyDescent="0.25">
      <c r="B710" s="4">
        <v>7.08</v>
      </c>
      <c r="C710" s="42">
        <f t="shared" si="11"/>
        <v>-8.4700000000000006</v>
      </c>
    </row>
    <row r="711" spans="2:3" x14ac:dyDescent="0.25">
      <c r="B711" s="4">
        <v>7.09</v>
      </c>
      <c r="C711" s="42">
        <f t="shared" si="11"/>
        <v>-8.4974999999999987</v>
      </c>
    </row>
    <row r="712" spans="2:3" x14ac:dyDescent="0.25">
      <c r="B712" s="4">
        <v>7.1</v>
      </c>
      <c r="C712" s="42">
        <f t="shared" si="11"/>
        <v>-8.5249999999999986</v>
      </c>
    </row>
    <row r="713" spans="2:3" x14ac:dyDescent="0.25">
      <c r="B713" s="4">
        <v>7.11</v>
      </c>
      <c r="C713" s="42">
        <f t="shared" si="11"/>
        <v>-8.5525000000000002</v>
      </c>
    </row>
    <row r="714" spans="2:3" x14ac:dyDescent="0.25">
      <c r="B714" s="4">
        <v>7.12</v>
      </c>
      <c r="C714" s="42">
        <f t="shared" si="11"/>
        <v>-8.58</v>
      </c>
    </row>
    <row r="715" spans="2:3" x14ac:dyDescent="0.25">
      <c r="B715" s="4">
        <v>7.13</v>
      </c>
      <c r="C715" s="42">
        <f t="shared" si="11"/>
        <v>-8.6074999999999999</v>
      </c>
    </row>
    <row r="716" spans="2:3" x14ac:dyDescent="0.25">
      <c r="B716" s="4">
        <v>7.14</v>
      </c>
      <c r="C716" s="42">
        <f t="shared" si="11"/>
        <v>-8.6349999999999998</v>
      </c>
    </row>
    <row r="717" spans="2:3" x14ac:dyDescent="0.25">
      <c r="B717" s="4">
        <v>7.15</v>
      </c>
      <c r="C717" s="42">
        <f t="shared" si="11"/>
        <v>-8.6625000000000014</v>
      </c>
    </row>
    <row r="718" spans="2:3" x14ac:dyDescent="0.25">
      <c r="B718" s="4">
        <v>7.16</v>
      </c>
      <c r="C718" s="42">
        <f t="shared" si="11"/>
        <v>-8.6900000000000013</v>
      </c>
    </row>
    <row r="719" spans="2:3" x14ac:dyDescent="0.25">
      <c r="B719" s="4">
        <v>7.17</v>
      </c>
      <c r="C719" s="42">
        <f t="shared" si="11"/>
        <v>-8.7174999999999994</v>
      </c>
    </row>
    <row r="720" spans="2:3" x14ac:dyDescent="0.25">
      <c r="B720" s="4">
        <v>7.18</v>
      </c>
      <c r="C720" s="42">
        <f t="shared" si="11"/>
        <v>-8.7449999999999992</v>
      </c>
    </row>
    <row r="721" spans="2:3" x14ac:dyDescent="0.25">
      <c r="B721" s="4">
        <v>7.19</v>
      </c>
      <c r="C721" s="42">
        <f t="shared" si="11"/>
        <v>-8.7725000000000009</v>
      </c>
    </row>
    <row r="722" spans="2:3" x14ac:dyDescent="0.25">
      <c r="B722" s="4">
        <v>7.2</v>
      </c>
      <c r="C722" s="42">
        <f t="shared" si="11"/>
        <v>-8.8000000000000007</v>
      </c>
    </row>
    <row r="723" spans="2:3" x14ac:dyDescent="0.25">
      <c r="B723" s="4">
        <v>7.21</v>
      </c>
      <c r="C723" s="42">
        <f t="shared" si="11"/>
        <v>-8.8275000000000006</v>
      </c>
    </row>
    <row r="724" spans="2:3" x14ac:dyDescent="0.25">
      <c r="B724" s="4">
        <v>7.22</v>
      </c>
      <c r="C724" s="42">
        <f t="shared" si="11"/>
        <v>-8.8549999999999986</v>
      </c>
    </row>
    <row r="725" spans="2:3" x14ac:dyDescent="0.25">
      <c r="B725" s="4">
        <v>7.23</v>
      </c>
      <c r="C725" s="42">
        <f t="shared" si="11"/>
        <v>-8.8825000000000003</v>
      </c>
    </row>
    <row r="726" spans="2:3" x14ac:dyDescent="0.25">
      <c r="B726" s="4">
        <v>7.24</v>
      </c>
      <c r="C726" s="42">
        <f t="shared" si="11"/>
        <v>-8.91</v>
      </c>
    </row>
    <row r="727" spans="2:3" x14ac:dyDescent="0.25">
      <c r="B727" s="4">
        <v>7.25</v>
      </c>
      <c r="C727" s="42">
        <f t="shared" si="11"/>
        <v>-8.9375</v>
      </c>
    </row>
    <row r="728" spans="2:3" x14ac:dyDescent="0.25">
      <c r="B728" s="4">
        <v>7.26</v>
      </c>
      <c r="C728" s="42">
        <f t="shared" si="11"/>
        <v>-8.9649999999999999</v>
      </c>
    </row>
    <row r="729" spans="2:3" x14ac:dyDescent="0.25">
      <c r="B729" s="4">
        <v>7.27</v>
      </c>
      <c r="C729" s="42">
        <f t="shared" si="11"/>
        <v>-8.9924999999999997</v>
      </c>
    </row>
    <row r="730" spans="2:3" x14ac:dyDescent="0.25">
      <c r="B730" s="4">
        <v>7.28</v>
      </c>
      <c r="C730" s="42">
        <f t="shared" si="11"/>
        <v>-9.0200000000000014</v>
      </c>
    </row>
    <row r="731" spans="2:3" x14ac:dyDescent="0.25">
      <c r="B731" s="4">
        <v>7.29</v>
      </c>
      <c r="C731" s="42">
        <f t="shared" si="11"/>
        <v>-9.0474999999999994</v>
      </c>
    </row>
    <row r="732" spans="2:3" x14ac:dyDescent="0.25">
      <c r="B732" s="4">
        <v>7.3</v>
      </c>
      <c r="C732" s="42">
        <f t="shared" si="11"/>
        <v>-9.0749999999999993</v>
      </c>
    </row>
    <row r="733" spans="2:3" x14ac:dyDescent="0.25">
      <c r="B733" s="4">
        <v>7.31</v>
      </c>
      <c r="C733" s="42">
        <f t="shared" si="11"/>
        <v>-9.1024999999999991</v>
      </c>
    </row>
    <row r="734" spans="2:3" x14ac:dyDescent="0.25">
      <c r="B734" s="4">
        <v>7.32</v>
      </c>
      <c r="C734" s="42">
        <f t="shared" si="11"/>
        <v>-9.1300000000000008</v>
      </c>
    </row>
    <row r="735" spans="2:3" x14ac:dyDescent="0.25">
      <c r="B735" s="4">
        <v>7.33</v>
      </c>
      <c r="C735" s="42">
        <f t="shared" si="11"/>
        <v>-9.1575000000000006</v>
      </c>
    </row>
    <row r="736" spans="2:3" x14ac:dyDescent="0.25">
      <c r="B736" s="4">
        <v>7.34</v>
      </c>
      <c r="C736" s="42">
        <f t="shared" si="11"/>
        <v>-9.1849999999999987</v>
      </c>
    </row>
    <row r="737" spans="2:3" x14ac:dyDescent="0.25">
      <c r="B737" s="4">
        <v>7.35</v>
      </c>
      <c r="C737" s="42">
        <f t="shared" si="11"/>
        <v>-9.2124999999999986</v>
      </c>
    </row>
    <row r="738" spans="2:3" x14ac:dyDescent="0.25">
      <c r="B738" s="4">
        <v>7.36</v>
      </c>
      <c r="C738" s="42">
        <f t="shared" si="11"/>
        <v>-9.24</v>
      </c>
    </row>
    <row r="739" spans="2:3" x14ac:dyDescent="0.25">
      <c r="B739" s="4">
        <v>7.37</v>
      </c>
      <c r="C739" s="42">
        <f t="shared" si="11"/>
        <v>-9.2675000000000001</v>
      </c>
    </row>
    <row r="740" spans="2:3" x14ac:dyDescent="0.25">
      <c r="B740" s="4">
        <v>7.38</v>
      </c>
      <c r="C740" s="42">
        <f t="shared" si="11"/>
        <v>-9.2949999999999999</v>
      </c>
    </row>
    <row r="741" spans="2:3" x14ac:dyDescent="0.25">
      <c r="B741" s="4">
        <v>7.39</v>
      </c>
      <c r="C741" s="42">
        <f t="shared" si="11"/>
        <v>-9.3224999999999998</v>
      </c>
    </row>
    <row r="742" spans="2:3" x14ac:dyDescent="0.25">
      <c r="B742" s="4">
        <v>7.4</v>
      </c>
      <c r="C742" s="42">
        <f t="shared" si="11"/>
        <v>-9.3500000000000014</v>
      </c>
    </row>
    <row r="743" spans="2:3" x14ac:dyDescent="0.25">
      <c r="B743" s="4">
        <v>7.41</v>
      </c>
      <c r="C743" s="42">
        <f t="shared" si="11"/>
        <v>-9.3775000000000013</v>
      </c>
    </row>
    <row r="744" spans="2:3" x14ac:dyDescent="0.25">
      <c r="B744" s="4">
        <v>7.42</v>
      </c>
      <c r="C744" s="42">
        <f t="shared" si="11"/>
        <v>-9.4049999999999994</v>
      </c>
    </row>
    <row r="745" spans="2:3" x14ac:dyDescent="0.25">
      <c r="B745" s="4">
        <v>7.43</v>
      </c>
      <c r="C745" s="42">
        <f t="shared" si="11"/>
        <v>-9.4324999999999992</v>
      </c>
    </row>
    <row r="746" spans="2:3" x14ac:dyDescent="0.25">
      <c r="B746" s="4">
        <v>7.44</v>
      </c>
      <c r="C746" s="42">
        <f t="shared" si="11"/>
        <v>-9.4600000000000009</v>
      </c>
    </row>
    <row r="747" spans="2:3" x14ac:dyDescent="0.25">
      <c r="B747" s="4">
        <v>7.45</v>
      </c>
      <c r="C747" s="42">
        <f t="shared" si="11"/>
        <v>-9.4875000000000007</v>
      </c>
    </row>
    <row r="748" spans="2:3" x14ac:dyDescent="0.25">
      <c r="B748" s="4">
        <v>7.46</v>
      </c>
      <c r="C748" s="42">
        <f t="shared" si="11"/>
        <v>-9.5150000000000006</v>
      </c>
    </row>
    <row r="749" spans="2:3" x14ac:dyDescent="0.25">
      <c r="B749" s="4">
        <v>7.47</v>
      </c>
      <c r="C749" s="42">
        <f t="shared" si="11"/>
        <v>-9.5424999999999986</v>
      </c>
    </row>
    <row r="750" spans="2:3" x14ac:dyDescent="0.25">
      <c r="B750" s="4">
        <v>7.48</v>
      </c>
      <c r="C750" s="42">
        <f t="shared" si="11"/>
        <v>-9.57</v>
      </c>
    </row>
    <row r="751" spans="2:3" x14ac:dyDescent="0.25">
      <c r="B751" s="4">
        <v>7.49</v>
      </c>
      <c r="C751" s="42">
        <f t="shared" si="11"/>
        <v>-9.5975000000000001</v>
      </c>
    </row>
    <row r="752" spans="2:3" x14ac:dyDescent="0.25">
      <c r="B752" s="4">
        <v>7.5</v>
      </c>
      <c r="C752" s="42">
        <f t="shared" si="11"/>
        <v>-9.625</v>
      </c>
    </row>
    <row r="753" spans="2:3" x14ac:dyDescent="0.25">
      <c r="B753" s="4">
        <v>7.51</v>
      </c>
      <c r="C753" s="42">
        <f t="shared" si="11"/>
        <v>-9.6524999999999999</v>
      </c>
    </row>
    <row r="754" spans="2:3" x14ac:dyDescent="0.25">
      <c r="B754" s="4">
        <v>7.52</v>
      </c>
      <c r="C754" s="42">
        <f t="shared" si="11"/>
        <v>-9.68</v>
      </c>
    </row>
    <row r="755" spans="2:3" x14ac:dyDescent="0.25">
      <c r="B755" s="4">
        <v>7.53</v>
      </c>
      <c r="C755" s="42">
        <f t="shared" si="11"/>
        <v>-9.7075000000000014</v>
      </c>
    </row>
    <row r="756" spans="2:3" x14ac:dyDescent="0.25">
      <c r="B756" s="4">
        <v>7.54</v>
      </c>
      <c r="C756" s="42">
        <f t="shared" si="11"/>
        <v>-9.7349999999999994</v>
      </c>
    </row>
    <row r="757" spans="2:3" x14ac:dyDescent="0.25">
      <c r="B757" s="4">
        <v>7.55</v>
      </c>
      <c r="C757" s="42">
        <f t="shared" si="11"/>
        <v>-9.7624999999999993</v>
      </c>
    </row>
    <row r="758" spans="2:3" x14ac:dyDescent="0.25">
      <c r="B758" s="4">
        <v>7.56</v>
      </c>
      <c r="C758" s="42">
        <f t="shared" si="11"/>
        <v>-9.7899999999999991</v>
      </c>
    </row>
    <row r="759" spans="2:3" x14ac:dyDescent="0.25">
      <c r="B759" s="4">
        <v>7.57</v>
      </c>
      <c r="C759" s="42">
        <f t="shared" si="11"/>
        <v>-9.8175000000000008</v>
      </c>
    </row>
    <row r="760" spans="2:3" x14ac:dyDescent="0.25">
      <c r="B760" s="4">
        <v>7.58</v>
      </c>
      <c r="C760" s="42">
        <f t="shared" si="11"/>
        <v>-9.8450000000000006</v>
      </c>
    </row>
    <row r="761" spans="2:3" x14ac:dyDescent="0.25">
      <c r="B761" s="4">
        <v>7.59</v>
      </c>
      <c r="C761" s="42">
        <f t="shared" si="11"/>
        <v>-9.8724999999999987</v>
      </c>
    </row>
    <row r="762" spans="2:3" x14ac:dyDescent="0.25">
      <c r="B762" s="4">
        <v>7.6</v>
      </c>
      <c r="C762" s="42">
        <f t="shared" si="11"/>
        <v>-9.8999999999999986</v>
      </c>
    </row>
    <row r="763" spans="2:3" x14ac:dyDescent="0.25">
      <c r="B763" s="4">
        <v>7.61</v>
      </c>
      <c r="C763" s="42">
        <f t="shared" si="11"/>
        <v>-9.9275000000000002</v>
      </c>
    </row>
    <row r="764" spans="2:3" x14ac:dyDescent="0.25">
      <c r="B764" s="4">
        <v>7.62</v>
      </c>
      <c r="C764" s="42">
        <f t="shared" si="11"/>
        <v>-9.9550000000000001</v>
      </c>
    </row>
    <row r="765" spans="2:3" x14ac:dyDescent="0.25">
      <c r="B765" s="4">
        <v>7.63</v>
      </c>
      <c r="C765" s="42">
        <f t="shared" si="11"/>
        <v>-9.9824999999999999</v>
      </c>
    </row>
    <row r="766" spans="2:3" x14ac:dyDescent="0.25">
      <c r="B766" s="4">
        <v>7.64</v>
      </c>
      <c r="C766" s="42">
        <f t="shared" si="11"/>
        <v>-10.01</v>
      </c>
    </row>
    <row r="767" spans="2:3" x14ac:dyDescent="0.25">
      <c r="B767" s="4">
        <v>7.65</v>
      </c>
      <c r="C767" s="42">
        <f t="shared" si="11"/>
        <v>-10.037500000000001</v>
      </c>
    </row>
    <row r="768" spans="2:3" x14ac:dyDescent="0.25">
      <c r="B768" s="4">
        <v>7.66</v>
      </c>
      <c r="C768" s="42">
        <f t="shared" si="11"/>
        <v>-10.065000000000001</v>
      </c>
    </row>
    <row r="769" spans="2:3" x14ac:dyDescent="0.25">
      <c r="B769" s="4">
        <v>7.67</v>
      </c>
      <c r="C769" s="42">
        <f t="shared" si="11"/>
        <v>-10.092499999999999</v>
      </c>
    </row>
    <row r="770" spans="2:3" x14ac:dyDescent="0.25">
      <c r="B770" s="4">
        <v>7.68</v>
      </c>
      <c r="C770" s="42">
        <f t="shared" si="11"/>
        <v>-10.119999999999999</v>
      </c>
    </row>
    <row r="771" spans="2:3" x14ac:dyDescent="0.25">
      <c r="B771" s="4">
        <v>7.69</v>
      </c>
      <c r="C771" s="42">
        <f t="shared" si="11"/>
        <v>-10.147500000000001</v>
      </c>
    </row>
    <row r="772" spans="2:3" x14ac:dyDescent="0.25">
      <c r="B772" s="4">
        <v>7.7</v>
      </c>
      <c r="C772" s="42">
        <f t="shared" ref="C772:C835" si="12">11*(1-(B772/2*0.5))</f>
        <v>-10.175000000000001</v>
      </c>
    </row>
    <row r="773" spans="2:3" x14ac:dyDescent="0.25">
      <c r="B773" s="4">
        <v>7.71</v>
      </c>
      <c r="C773" s="42">
        <f t="shared" si="12"/>
        <v>-10.202500000000001</v>
      </c>
    </row>
    <row r="774" spans="2:3" x14ac:dyDescent="0.25">
      <c r="B774" s="4">
        <v>7.72</v>
      </c>
      <c r="C774" s="42">
        <f t="shared" si="12"/>
        <v>-10.229999999999999</v>
      </c>
    </row>
    <row r="775" spans="2:3" x14ac:dyDescent="0.25">
      <c r="B775" s="4">
        <v>7.73</v>
      </c>
      <c r="C775" s="42">
        <f t="shared" si="12"/>
        <v>-10.2575</v>
      </c>
    </row>
    <row r="776" spans="2:3" x14ac:dyDescent="0.25">
      <c r="B776" s="4">
        <v>7.74</v>
      </c>
      <c r="C776" s="42">
        <f t="shared" si="12"/>
        <v>-10.285</v>
      </c>
    </row>
    <row r="777" spans="2:3" x14ac:dyDescent="0.25">
      <c r="B777" s="4">
        <v>7.75</v>
      </c>
      <c r="C777" s="42">
        <f t="shared" si="12"/>
        <v>-10.3125</v>
      </c>
    </row>
    <row r="778" spans="2:3" x14ac:dyDescent="0.25">
      <c r="B778" s="4">
        <v>7.76</v>
      </c>
      <c r="C778" s="42">
        <f t="shared" si="12"/>
        <v>-10.34</v>
      </c>
    </row>
    <row r="779" spans="2:3" x14ac:dyDescent="0.25">
      <c r="B779" s="4">
        <v>7.77</v>
      </c>
      <c r="C779" s="42">
        <f t="shared" si="12"/>
        <v>-10.3675</v>
      </c>
    </row>
    <row r="780" spans="2:3" x14ac:dyDescent="0.25">
      <c r="B780" s="4">
        <v>7.78</v>
      </c>
      <c r="C780" s="42">
        <f t="shared" si="12"/>
        <v>-10.395000000000001</v>
      </c>
    </row>
    <row r="781" spans="2:3" x14ac:dyDescent="0.25">
      <c r="B781" s="4">
        <v>7.79</v>
      </c>
      <c r="C781" s="42">
        <f t="shared" si="12"/>
        <v>-10.422499999999999</v>
      </c>
    </row>
    <row r="782" spans="2:3" x14ac:dyDescent="0.25">
      <c r="B782" s="4">
        <v>7.8</v>
      </c>
      <c r="C782" s="42">
        <f t="shared" si="12"/>
        <v>-10.45</v>
      </c>
    </row>
    <row r="783" spans="2:3" x14ac:dyDescent="0.25">
      <c r="B783" s="4">
        <v>7.81</v>
      </c>
      <c r="C783" s="42">
        <f t="shared" si="12"/>
        <v>-10.477499999999999</v>
      </c>
    </row>
    <row r="784" spans="2:3" x14ac:dyDescent="0.25">
      <c r="B784" s="4">
        <v>7.82</v>
      </c>
      <c r="C784" s="42">
        <f t="shared" si="12"/>
        <v>-10.505000000000001</v>
      </c>
    </row>
    <row r="785" spans="2:3" x14ac:dyDescent="0.25">
      <c r="B785" s="4">
        <v>7.83</v>
      </c>
      <c r="C785" s="42">
        <f t="shared" si="12"/>
        <v>-10.532500000000001</v>
      </c>
    </row>
    <row r="786" spans="2:3" x14ac:dyDescent="0.25">
      <c r="B786" s="4">
        <v>7.84</v>
      </c>
      <c r="C786" s="42">
        <f t="shared" si="12"/>
        <v>-10.559999999999999</v>
      </c>
    </row>
    <row r="787" spans="2:3" x14ac:dyDescent="0.25">
      <c r="B787" s="4">
        <v>7.85</v>
      </c>
      <c r="C787" s="42">
        <f t="shared" si="12"/>
        <v>-10.587499999999999</v>
      </c>
    </row>
    <row r="788" spans="2:3" x14ac:dyDescent="0.25">
      <c r="B788" s="4">
        <v>7.86</v>
      </c>
      <c r="C788" s="42">
        <f t="shared" si="12"/>
        <v>-10.615</v>
      </c>
    </row>
    <row r="789" spans="2:3" x14ac:dyDescent="0.25">
      <c r="B789" s="4">
        <v>7.87</v>
      </c>
      <c r="C789" s="42">
        <f t="shared" si="12"/>
        <v>-10.6425</v>
      </c>
    </row>
    <row r="790" spans="2:3" x14ac:dyDescent="0.25">
      <c r="B790" s="4">
        <v>7.88</v>
      </c>
      <c r="C790" s="42">
        <f t="shared" si="12"/>
        <v>-10.67</v>
      </c>
    </row>
    <row r="791" spans="2:3" x14ac:dyDescent="0.25">
      <c r="B791" s="4">
        <v>7.89</v>
      </c>
      <c r="C791" s="42">
        <f t="shared" si="12"/>
        <v>-10.6975</v>
      </c>
    </row>
    <row r="792" spans="2:3" x14ac:dyDescent="0.25">
      <c r="B792" s="4">
        <v>7.9</v>
      </c>
      <c r="C792" s="42">
        <f t="shared" si="12"/>
        <v>-10.725000000000001</v>
      </c>
    </row>
    <row r="793" spans="2:3" x14ac:dyDescent="0.25">
      <c r="B793" s="4">
        <v>7.91</v>
      </c>
      <c r="C793" s="42">
        <f t="shared" si="12"/>
        <v>-10.752500000000001</v>
      </c>
    </row>
    <row r="794" spans="2:3" x14ac:dyDescent="0.25">
      <c r="B794" s="4">
        <v>7.92</v>
      </c>
      <c r="C794" s="42">
        <f t="shared" si="12"/>
        <v>-10.78</v>
      </c>
    </row>
    <row r="795" spans="2:3" x14ac:dyDescent="0.25">
      <c r="B795" s="4">
        <v>7.93</v>
      </c>
      <c r="C795" s="42">
        <f t="shared" si="12"/>
        <v>-10.807499999999999</v>
      </c>
    </row>
    <row r="796" spans="2:3" x14ac:dyDescent="0.25">
      <c r="B796" s="4">
        <v>7.94</v>
      </c>
      <c r="C796" s="42">
        <f t="shared" si="12"/>
        <v>-10.835000000000001</v>
      </c>
    </row>
    <row r="797" spans="2:3" x14ac:dyDescent="0.25">
      <c r="B797" s="4">
        <v>7.95</v>
      </c>
      <c r="C797" s="42">
        <f t="shared" si="12"/>
        <v>-10.862500000000001</v>
      </c>
    </row>
    <row r="798" spans="2:3" x14ac:dyDescent="0.25">
      <c r="B798" s="4">
        <v>7.96</v>
      </c>
      <c r="C798" s="42">
        <f t="shared" si="12"/>
        <v>-10.89</v>
      </c>
    </row>
    <row r="799" spans="2:3" x14ac:dyDescent="0.25">
      <c r="B799" s="4">
        <v>7.97</v>
      </c>
      <c r="C799" s="42">
        <f t="shared" si="12"/>
        <v>-10.917499999999999</v>
      </c>
    </row>
    <row r="800" spans="2:3" x14ac:dyDescent="0.25">
      <c r="B800" s="4">
        <v>7.98</v>
      </c>
      <c r="C800" s="42">
        <f t="shared" si="12"/>
        <v>-10.945</v>
      </c>
    </row>
    <row r="801" spans="2:3" x14ac:dyDescent="0.25">
      <c r="B801" s="4">
        <v>7.99</v>
      </c>
      <c r="C801" s="42">
        <f t="shared" si="12"/>
        <v>-10.9725</v>
      </c>
    </row>
    <row r="802" spans="2:3" x14ac:dyDescent="0.25">
      <c r="B802" s="4">
        <v>8</v>
      </c>
      <c r="C802" s="42">
        <f t="shared" si="12"/>
        <v>-11</v>
      </c>
    </row>
    <row r="803" spans="2:3" x14ac:dyDescent="0.25">
      <c r="B803" s="4">
        <v>8.01</v>
      </c>
      <c r="C803" s="42">
        <f t="shared" si="12"/>
        <v>-11.0275</v>
      </c>
    </row>
    <row r="804" spans="2:3" x14ac:dyDescent="0.25">
      <c r="B804" s="4">
        <v>8.02</v>
      </c>
      <c r="C804" s="42">
        <f t="shared" si="12"/>
        <v>-11.055</v>
      </c>
    </row>
    <row r="805" spans="2:3" x14ac:dyDescent="0.25">
      <c r="B805" s="4">
        <v>8.0299999999999994</v>
      </c>
      <c r="C805" s="42">
        <f t="shared" si="12"/>
        <v>-11.082499999999998</v>
      </c>
    </row>
    <row r="806" spans="2:3" x14ac:dyDescent="0.25">
      <c r="B806" s="4">
        <v>8.0399999999999991</v>
      </c>
      <c r="C806" s="42">
        <f t="shared" si="12"/>
        <v>-11.109999999999998</v>
      </c>
    </row>
    <row r="807" spans="2:3" x14ac:dyDescent="0.25">
      <c r="B807" s="4">
        <v>8.0500000000000007</v>
      </c>
      <c r="C807" s="42">
        <f t="shared" si="12"/>
        <v>-11.137500000000003</v>
      </c>
    </row>
    <row r="808" spans="2:3" x14ac:dyDescent="0.25">
      <c r="B808" s="4">
        <v>8.06</v>
      </c>
      <c r="C808" s="42">
        <f t="shared" si="12"/>
        <v>-11.165000000000001</v>
      </c>
    </row>
    <row r="809" spans="2:3" x14ac:dyDescent="0.25">
      <c r="B809" s="4">
        <v>8.07</v>
      </c>
      <c r="C809" s="42">
        <f t="shared" si="12"/>
        <v>-11.192500000000001</v>
      </c>
    </row>
    <row r="810" spans="2:3" x14ac:dyDescent="0.25">
      <c r="B810" s="4">
        <v>8.08</v>
      </c>
      <c r="C810" s="42">
        <f t="shared" si="12"/>
        <v>-11.22</v>
      </c>
    </row>
    <row r="811" spans="2:3" x14ac:dyDescent="0.25">
      <c r="B811" s="4">
        <v>8.09</v>
      </c>
      <c r="C811" s="42">
        <f t="shared" si="12"/>
        <v>-11.247499999999999</v>
      </c>
    </row>
    <row r="812" spans="2:3" x14ac:dyDescent="0.25">
      <c r="B812" s="4">
        <v>8.1</v>
      </c>
      <c r="C812" s="42">
        <f t="shared" si="12"/>
        <v>-11.274999999999999</v>
      </c>
    </row>
    <row r="813" spans="2:3" x14ac:dyDescent="0.25">
      <c r="B813" s="4">
        <v>8.11</v>
      </c>
      <c r="C813" s="42">
        <f t="shared" si="12"/>
        <v>-11.302499999999998</v>
      </c>
    </row>
    <row r="814" spans="2:3" x14ac:dyDescent="0.25">
      <c r="B814" s="4">
        <v>8.1199999999999992</v>
      </c>
      <c r="C814" s="42">
        <f t="shared" si="12"/>
        <v>-11.329999999999998</v>
      </c>
    </row>
    <row r="815" spans="2:3" x14ac:dyDescent="0.25">
      <c r="B815" s="4">
        <v>8.1300000000000008</v>
      </c>
      <c r="C815" s="42">
        <f t="shared" si="12"/>
        <v>-11.357500000000002</v>
      </c>
    </row>
    <row r="816" spans="2:3" x14ac:dyDescent="0.25">
      <c r="B816" s="4">
        <v>8.14</v>
      </c>
      <c r="C816" s="42">
        <f t="shared" si="12"/>
        <v>-11.385000000000002</v>
      </c>
    </row>
    <row r="817" spans="2:3" x14ac:dyDescent="0.25">
      <c r="B817" s="4">
        <v>8.15</v>
      </c>
      <c r="C817" s="42">
        <f t="shared" si="12"/>
        <v>-11.412500000000001</v>
      </c>
    </row>
    <row r="818" spans="2:3" x14ac:dyDescent="0.25">
      <c r="B818" s="4">
        <v>8.16</v>
      </c>
      <c r="C818" s="42">
        <f t="shared" si="12"/>
        <v>-11.440000000000001</v>
      </c>
    </row>
    <row r="819" spans="2:3" x14ac:dyDescent="0.25">
      <c r="B819" s="4">
        <v>8.17</v>
      </c>
      <c r="C819" s="42">
        <f t="shared" si="12"/>
        <v>-11.467499999999999</v>
      </c>
    </row>
    <row r="820" spans="2:3" x14ac:dyDescent="0.25">
      <c r="B820" s="4">
        <v>8.18</v>
      </c>
      <c r="C820" s="42">
        <f t="shared" si="12"/>
        <v>-11.494999999999999</v>
      </c>
    </row>
    <row r="821" spans="2:3" x14ac:dyDescent="0.25">
      <c r="B821" s="4">
        <v>8.19</v>
      </c>
      <c r="C821" s="42">
        <f t="shared" si="12"/>
        <v>-11.522499999999999</v>
      </c>
    </row>
    <row r="822" spans="2:3" x14ac:dyDescent="0.25">
      <c r="B822" s="4">
        <v>8.1999999999999993</v>
      </c>
      <c r="C822" s="42">
        <f t="shared" si="12"/>
        <v>-11.549999999999997</v>
      </c>
    </row>
    <row r="823" spans="2:3" x14ac:dyDescent="0.25">
      <c r="B823" s="4">
        <v>8.2100000000000009</v>
      </c>
      <c r="C823" s="42">
        <f t="shared" si="12"/>
        <v>-11.577500000000002</v>
      </c>
    </row>
    <row r="824" spans="2:3" x14ac:dyDescent="0.25">
      <c r="B824" s="4">
        <v>8.2200000000000006</v>
      </c>
      <c r="C824" s="42">
        <f t="shared" si="12"/>
        <v>-11.605000000000002</v>
      </c>
    </row>
    <row r="825" spans="2:3" x14ac:dyDescent="0.25">
      <c r="B825" s="4">
        <v>8.23</v>
      </c>
      <c r="C825" s="42">
        <f t="shared" si="12"/>
        <v>-11.6325</v>
      </c>
    </row>
    <row r="826" spans="2:3" x14ac:dyDescent="0.25">
      <c r="B826" s="4">
        <v>8.24</v>
      </c>
      <c r="C826" s="42">
        <f t="shared" si="12"/>
        <v>-11.66</v>
      </c>
    </row>
    <row r="827" spans="2:3" x14ac:dyDescent="0.25">
      <c r="B827" s="4">
        <v>8.25</v>
      </c>
      <c r="C827" s="42">
        <f t="shared" si="12"/>
        <v>-11.6875</v>
      </c>
    </row>
    <row r="828" spans="2:3" x14ac:dyDescent="0.25">
      <c r="B828" s="4">
        <v>8.26</v>
      </c>
      <c r="C828" s="42">
        <f t="shared" si="12"/>
        <v>-11.715</v>
      </c>
    </row>
    <row r="829" spans="2:3" x14ac:dyDescent="0.25">
      <c r="B829" s="4">
        <v>8.27</v>
      </c>
      <c r="C829" s="42">
        <f t="shared" si="12"/>
        <v>-11.7425</v>
      </c>
    </row>
    <row r="830" spans="2:3" x14ac:dyDescent="0.25">
      <c r="B830" s="4">
        <v>8.2799999999999994</v>
      </c>
      <c r="C830" s="42">
        <f t="shared" si="12"/>
        <v>-11.769999999999998</v>
      </c>
    </row>
    <row r="831" spans="2:3" x14ac:dyDescent="0.25">
      <c r="B831" s="4">
        <v>8.2899999999999991</v>
      </c>
      <c r="C831" s="42">
        <f t="shared" si="12"/>
        <v>-11.797499999999998</v>
      </c>
    </row>
    <row r="832" spans="2:3" x14ac:dyDescent="0.25">
      <c r="B832" s="4">
        <v>8.3000000000000007</v>
      </c>
      <c r="C832" s="42">
        <f t="shared" si="12"/>
        <v>-11.825000000000003</v>
      </c>
    </row>
    <row r="833" spans="2:3" x14ac:dyDescent="0.25">
      <c r="B833" s="4">
        <v>8.31</v>
      </c>
      <c r="C833" s="42">
        <f t="shared" si="12"/>
        <v>-11.852500000000001</v>
      </c>
    </row>
    <row r="834" spans="2:3" x14ac:dyDescent="0.25">
      <c r="B834" s="4">
        <v>8.32</v>
      </c>
      <c r="C834" s="42">
        <f t="shared" si="12"/>
        <v>-11.88</v>
      </c>
    </row>
    <row r="835" spans="2:3" x14ac:dyDescent="0.25">
      <c r="B835" s="4">
        <v>8.33</v>
      </c>
      <c r="C835" s="42">
        <f t="shared" si="12"/>
        <v>-11.907500000000001</v>
      </c>
    </row>
    <row r="836" spans="2:3" x14ac:dyDescent="0.25">
      <c r="B836" s="4">
        <v>8.34</v>
      </c>
      <c r="C836" s="42">
        <f t="shared" ref="C836:C899" si="13">11*(1-(B836/2*0.5))</f>
        <v>-11.934999999999999</v>
      </c>
    </row>
    <row r="837" spans="2:3" x14ac:dyDescent="0.25">
      <c r="B837" s="4">
        <v>8.35</v>
      </c>
      <c r="C837" s="42">
        <f t="shared" si="13"/>
        <v>-11.962499999999999</v>
      </c>
    </row>
    <row r="838" spans="2:3" x14ac:dyDescent="0.25">
      <c r="B838" s="4">
        <v>8.36</v>
      </c>
      <c r="C838" s="42">
        <f t="shared" si="13"/>
        <v>-11.989999999999998</v>
      </c>
    </row>
    <row r="839" spans="2:3" x14ac:dyDescent="0.25">
      <c r="B839" s="4">
        <v>8.3699999999999992</v>
      </c>
      <c r="C839" s="42">
        <f t="shared" si="13"/>
        <v>-12.017499999999998</v>
      </c>
    </row>
    <row r="840" spans="2:3" x14ac:dyDescent="0.25">
      <c r="B840" s="4">
        <v>8.3800000000000008</v>
      </c>
      <c r="C840" s="42">
        <f t="shared" si="13"/>
        <v>-12.045000000000002</v>
      </c>
    </row>
    <row r="841" spans="2:3" x14ac:dyDescent="0.25">
      <c r="B841" s="4">
        <v>8.39</v>
      </c>
      <c r="C841" s="42">
        <f t="shared" si="13"/>
        <v>-12.072500000000002</v>
      </c>
    </row>
    <row r="842" spans="2:3" x14ac:dyDescent="0.25">
      <c r="B842" s="4">
        <v>8.4</v>
      </c>
      <c r="C842" s="42">
        <f t="shared" si="13"/>
        <v>-12.100000000000001</v>
      </c>
    </row>
    <row r="843" spans="2:3" x14ac:dyDescent="0.25">
      <c r="B843" s="4">
        <v>8.41</v>
      </c>
      <c r="C843" s="42">
        <f t="shared" si="13"/>
        <v>-12.127500000000001</v>
      </c>
    </row>
    <row r="844" spans="2:3" x14ac:dyDescent="0.25">
      <c r="B844" s="4">
        <v>8.42</v>
      </c>
      <c r="C844" s="42">
        <f t="shared" si="13"/>
        <v>-12.154999999999999</v>
      </c>
    </row>
    <row r="845" spans="2:3" x14ac:dyDescent="0.25">
      <c r="B845" s="4">
        <v>8.43</v>
      </c>
      <c r="C845" s="42">
        <f t="shared" si="13"/>
        <v>-12.182499999999999</v>
      </c>
    </row>
    <row r="846" spans="2:3" x14ac:dyDescent="0.25">
      <c r="B846" s="4">
        <v>8.44</v>
      </c>
      <c r="C846" s="42">
        <f t="shared" si="13"/>
        <v>-12.209999999999999</v>
      </c>
    </row>
    <row r="847" spans="2:3" x14ac:dyDescent="0.25">
      <c r="B847" s="4">
        <v>8.4499999999999993</v>
      </c>
      <c r="C847" s="42">
        <f t="shared" si="13"/>
        <v>-12.237499999999997</v>
      </c>
    </row>
    <row r="848" spans="2:3" x14ac:dyDescent="0.25">
      <c r="B848" s="4">
        <v>8.4600000000000009</v>
      </c>
      <c r="C848" s="42">
        <f t="shared" si="13"/>
        <v>-12.265000000000002</v>
      </c>
    </row>
    <row r="849" spans="2:3" x14ac:dyDescent="0.25">
      <c r="B849" s="4">
        <v>8.4700000000000006</v>
      </c>
      <c r="C849" s="42">
        <f t="shared" si="13"/>
        <v>-12.292500000000002</v>
      </c>
    </row>
    <row r="850" spans="2:3" x14ac:dyDescent="0.25">
      <c r="B850" s="4">
        <v>8.48</v>
      </c>
      <c r="C850" s="42">
        <f t="shared" si="13"/>
        <v>-12.32</v>
      </c>
    </row>
    <row r="851" spans="2:3" x14ac:dyDescent="0.25">
      <c r="B851" s="4">
        <v>8.49</v>
      </c>
      <c r="C851" s="42">
        <f t="shared" si="13"/>
        <v>-12.3475</v>
      </c>
    </row>
    <row r="852" spans="2:3" x14ac:dyDescent="0.25">
      <c r="B852" s="4">
        <v>8.5</v>
      </c>
      <c r="C852" s="42">
        <f t="shared" si="13"/>
        <v>-12.375</v>
      </c>
    </row>
    <row r="853" spans="2:3" x14ac:dyDescent="0.25">
      <c r="B853" s="4">
        <v>8.51</v>
      </c>
      <c r="C853" s="42">
        <f t="shared" si="13"/>
        <v>-12.4025</v>
      </c>
    </row>
    <row r="854" spans="2:3" x14ac:dyDescent="0.25">
      <c r="B854" s="4">
        <v>8.52</v>
      </c>
      <c r="C854" s="42">
        <f t="shared" si="13"/>
        <v>-12.43</v>
      </c>
    </row>
    <row r="855" spans="2:3" x14ac:dyDescent="0.25">
      <c r="B855" s="4">
        <v>8.5299999999999994</v>
      </c>
      <c r="C855" s="42">
        <f t="shared" si="13"/>
        <v>-12.457499999999998</v>
      </c>
    </row>
    <row r="856" spans="2:3" x14ac:dyDescent="0.25">
      <c r="B856" s="4">
        <v>8.5399999999999991</v>
      </c>
      <c r="C856" s="42">
        <f t="shared" si="13"/>
        <v>-12.484999999999998</v>
      </c>
    </row>
    <row r="857" spans="2:3" x14ac:dyDescent="0.25">
      <c r="B857" s="4">
        <v>8.5500000000000007</v>
      </c>
      <c r="C857" s="42">
        <f t="shared" si="13"/>
        <v>-12.512500000000003</v>
      </c>
    </row>
    <row r="858" spans="2:3" x14ac:dyDescent="0.25">
      <c r="B858" s="4">
        <v>8.56</v>
      </c>
      <c r="C858" s="42">
        <f t="shared" si="13"/>
        <v>-12.540000000000001</v>
      </c>
    </row>
    <row r="859" spans="2:3" x14ac:dyDescent="0.25">
      <c r="B859" s="4">
        <v>8.57</v>
      </c>
      <c r="C859" s="42">
        <f t="shared" si="13"/>
        <v>-12.567500000000001</v>
      </c>
    </row>
    <row r="860" spans="2:3" x14ac:dyDescent="0.25">
      <c r="B860" s="4">
        <v>8.58</v>
      </c>
      <c r="C860" s="42">
        <f t="shared" si="13"/>
        <v>-12.595000000000001</v>
      </c>
    </row>
    <row r="861" spans="2:3" x14ac:dyDescent="0.25">
      <c r="B861" s="4">
        <v>8.59</v>
      </c>
      <c r="C861" s="42">
        <f t="shared" si="13"/>
        <v>-12.622499999999999</v>
      </c>
    </row>
    <row r="862" spans="2:3" x14ac:dyDescent="0.25">
      <c r="B862" s="4">
        <v>8.6</v>
      </c>
      <c r="C862" s="42">
        <f t="shared" si="13"/>
        <v>-12.649999999999999</v>
      </c>
    </row>
    <row r="863" spans="2:3" x14ac:dyDescent="0.25">
      <c r="B863" s="4">
        <v>8.61</v>
      </c>
      <c r="C863" s="42">
        <f t="shared" si="13"/>
        <v>-12.677499999999998</v>
      </c>
    </row>
    <row r="864" spans="2:3" x14ac:dyDescent="0.25">
      <c r="B864" s="4">
        <v>8.6199999999999992</v>
      </c>
      <c r="C864" s="42">
        <f t="shared" si="13"/>
        <v>-12.704999999999998</v>
      </c>
    </row>
    <row r="865" spans="2:3" x14ac:dyDescent="0.25">
      <c r="B865" s="4">
        <v>8.6300000000000008</v>
      </c>
      <c r="C865" s="42">
        <f t="shared" si="13"/>
        <v>-12.732500000000002</v>
      </c>
    </row>
    <row r="866" spans="2:3" x14ac:dyDescent="0.25">
      <c r="B866" s="4">
        <v>8.64</v>
      </c>
      <c r="C866" s="42">
        <f t="shared" si="13"/>
        <v>-12.760000000000002</v>
      </c>
    </row>
    <row r="867" spans="2:3" x14ac:dyDescent="0.25">
      <c r="B867" s="4">
        <v>8.65</v>
      </c>
      <c r="C867" s="42">
        <f t="shared" si="13"/>
        <v>-12.787500000000001</v>
      </c>
    </row>
    <row r="868" spans="2:3" x14ac:dyDescent="0.25">
      <c r="B868" s="4">
        <v>8.66</v>
      </c>
      <c r="C868" s="42">
        <f t="shared" si="13"/>
        <v>-12.815000000000001</v>
      </c>
    </row>
    <row r="869" spans="2:3" x14ac:dyDescent="0.25">
      <c r="B869" s="4">
        <v>8.67</v>
      </c>
      <c r="C869" s="42">
        <f t="shared" si="13"/>
        <v>-12.842499999999999</v>
      </c>
    </row>
    <row r="870" spans="2:3" x14ac:dyDescent="0.25">
      <c r="B870" s="4">
        <v>8.68</v>
      </c>
      <c r="C870" s="42">
        <f t="shared" si="13"/>
        <v>-12.87</v>
      </c>
    </row>
    <row r="871" spans="2:3" x14ac:dyDescent="0.25">
      <c r="B871" s="4">
        <v>8.69</v>
      </c>
      <c r="C871" s="42">
        <f t="shared" si="13"/>
        <v>-12.897499999999999</v>
      </c>
    </row>
    <row r="872" spans="2:3" x14ac:dyDescent="0.25">
      <c r="B872" s="4">
        <v>8.6999999999999993</v>
      </c>
      <c r="C872" s="42">
        <f t="shared" si="13"/>
        <v>-12.924999999999997</v>
      </c>
    </row>
    <row r="873" spans="2:3" x14ac:dyDescent="0.25">
      <c r="B873" s="4">
        <v>8.7100000000000009</v>
      </c>
      <c r="C873" s="42">
        <f t="shared" si="13"/>
        <v>-12.952500000000002</v>
      </c>
    </row>
    <row r="874" spans="2:3" x14ac:dyDescent="0.25">
      <c r="B874" s="4">
        <v>8.7200000000000006</v>
      </c>
      <c r="C874" s="42">
        <f t="shared" si="13"/>
        <v>-12.980000000000002</v>
      </c>
    </row>
    <row r="875" spans="2:3" x14ac:dyDescent="0.25">
      <c r="B875" s="4">
        <v>8.73</v>
      </c>
      <c r="C875" s="42">
        <f t="shared" si="13"/>
        <v>-13.0075</v>
      </c>
    </row>
    <row r="876" spans="2:3" x14ac:dyDescent="0.25">
      <c r="B876" s="4">
        <v>8.74</v>
      </c>
      <c r="C876" s="42">
        <f t="shared" si="13"/>
        <v>-13.035</v>
      </c>
    </row>
    <row r="877" spans="2:3" x14ac:dyDescent="0.25">
      <c r="B877" s="4">
        <v>8.75</v>
      </c>
      <c r="C877" s="42">
        <f t="shared" si="13"/>
        <v>-13.0625</v>
      </c>
    </row>
    <row r="878" spans="2:3" x14ac:dyDescent="0.25">
      <c r="B878" s="4">
        <v>8.76</v>
      </c>
      <c r="C878" s="42">
        <f t="shared" si="13"/>
        <v>-13.09</v>
      </c>
    </row>
    <row r="879" spans="2:3" x14ac:dyDescent="0.25">
      <c r="B879" s="4">
        <v>8.77</v>
      </c>
      <c r="C879" s="42">
        <f t="shared" si="13"/>
        <v>-13.1175</v>
      </c>
    </row>
    <row r="880" spans="2:3" x14ac:dyDescent="0.25">
      <c r="B880" s="4">
        <v>8.7799999999999994</v>
      </c>
      <c r="C880" s="42">
        <f t="shared" si="13"/>
        <v>-13.144999999999998</v>
      </c>
    </row>
    <row r="881" spans="2:3" x14ac:dyDescent="0.25">
      <c r="B881" s="4">
        <v>8.7899999999999991</v>
      </c>
      <c r="C881" s="42">
        <f t="shared" si="13"/>
        <v>-13.172499999999998</v>
      </c>
    </row>
    <row r="882" spans="2:3" x14ac:dyDescent="0.25">
      <c r="B882" s="4">
        <v>8.8000000000000007</v>
      </c>
      <c r="C882" s="42">
        <f t="shared" si="13"/>
        <v>-13.200000000000003</v>
      </c>
    </row>
    <row r="883" spans="2:3" x14ac:dyDescent="0.25">
      <c r="B883" s="4">
        <v>8.81</v>
      </c>
      <c r="C883" s="42">
        <f t="shared" si="13"/>
        <v>-13.227500000000001</v>
      </c>
    </row>
    <row r="884" spans="2:3" x14ac:dyDescent="0.25">
      <c r="B884" s="4">
        <v>8.82</v>
      </c>
      <c r="C884" s="42">
        <f t="shared" si="13"/>
        <v>-13.255000000000001</v>
      </c>
    </row>
    <row r="885" spans="2:3" x14ac:dyDescent="0.25">
      <c r="B885" s="4">
        <v>8.83</v>
      </c>
      <c r="C885" s="42">
        <f t="shared" si="13"/>
        <v>-13.282500000000001</v>
      </c>
    </row>
    <row r="886" spans="2:3" x14ac:dyDescent="0.25">
      <c r="B886" s="4">
        <v>8.84</v>
      </c>
      <c r="C886" s="42">
        <f t="shared" si="13"/>
        <v>-13.309999999999999</v>
      </c>
    </row>
    <row r="887" spans="2:3" x14ac:dyDescent="0.25">
      <c r="B887" s="4">
        <v>8.85</v>
      </c>
      <c r="C887" s="42">
        <f t="shared" si="13"/>
        <v>-13.337499999999999</v>
      </c>
    </row>
    <row r="888" spans="2:3" x14ac:dyDescent="0.25">
      <c r="B888" s="4">
        <v>8.86</v>
      </c>
      <c r="C888" s="42">
        <f t="shared" si="13"/>
        <v>-13.364999999999998</v>
      </c>
    </row>
    <row r="889" spans="2:3" x14ac:dyDescent="0.25">
      <c r="B889" s="4">
        <v>8.8699999999999992</v>
      </c>
      <c r="C889" s="42">
        <f t="shared" si="13"/>
        <v>-13.392499999999998</v>
      </c>
    </row>
    <row r="890" spans="2:3" x14ac:dyDescent="0.25">
      <c r="B890" s="4">
        <v>8.8800000000000008</v>
      </c>
      <c r="C890" s="42">
        <f t="shared" si="13"/>
        <v>-13.420000000000002</v>
      </c>
    </row>
    <row r="891" spans="2:3" x14ac:dyDescent="0.25">
      <c r="B891" s="4">
        <v>8.89</v>
      </c>
      <c r="C891" s="42">
        <f t="shared" si="13"/>
        <v>-13.447500000000002</v>
      </c>
    </row>
    <row r="892" spans="2:3" x14ac:dyDescent="0.25">
      <c r="B892" s="4">
        <v>8.9</v>
      </c>
      <c r="C892" s="42">
        <f t="shared" si="13"/>
        <v>-13.475000000000001</v>
      </c>
    </row>
    <row r="893" spans="2:3" x14ac:dyDescent="0.25">
      <c r="B893" s="4">
        <v>8.91</v>
      </c>
      <c r="C893" s="42">
        <f t="shared" si="13"/>
        <v>-13.502500000000001</v>
      </c>
    </row>
    <row r="894" spans="2:3" x14ac:dyDescent="0.25">
      <c r="B894" s="4">
        <v>8.92</v>
      </c>
      <c r="C894" s="42">
        <f t="shared" si="13"/>
        <v>-13.53</v>
      </c>
    </row>
    <row r="895" spans="2:3" x14ac:dyDescent="0.25">
      <c r="B895" s="4">
        <v>8.93</v>
      </c>
      <c r="C895" s="42">
        <f t="shared" si="13"/>
        <v>-13.557499999999999</v>
      </c>
    </row>
    <row r="896" spans="2:3" x14ac:dyDescent="0.25">
      <c r="B896" s="4">
        <v>8.94</v>
      </c>
      <c r="C896" s="42">
        <f t="shared" si="13"/>
        <v>-13.584999999999999</v>
      </c>
    </row>
    <row r="897" spans="2:3" x14ac:dyDescent="0.25">
      <c r="B897" s="4">
        <v>8.9499999999999993</v>
      </c>
      <c r="C897" s="42">
        <f t="shared" si="13"/>
        <v>-13.612499999999997</v>
      </c>
    </row>
    <row r="898" spans="2:3" x14ac:dyDescent="0.25">
      <c r="B898" s="4">
        <v>8.9600000000000009</v>
      </c>
      <c r="C898" s="42">
        <f t="shared" si="13"/>
        <v>-13.640000000000002</v>
      </c>
    </row>
    <row r="899" spans="2:3" x14ac:dyDescent="0.25">
      <c r="B899" s="4">
        <v>8.9700000000000006</v>
      </c>
      <c r="C899" s="42">
        <f t="shared" si="13"/>
        <v>-13.667500000000002</v>
      </c>
    </row>
    <row r="900" spans="2:3" x14ac:dyDescent="0.25">
      <c r="B900" s="4">
        <v>8.98</v>
      </c>
      <c r="C900" s="42">
        <f t="shared" ref="C900:C963" si="14">11*(1-(B900/2*0.5))</f>
        <v>-13.695</v>
      </c>
    </row>
    <row r="901" spans="2:3" x14ac:dyDescent="0.25">
      <c r="B901" s="4">
        <v>8.99</v>
      </c>
      <c r="C901" s="42">
        <f t="shared" si="14"/>
        <v>-13.7225</v>
      </c>
    </row>
    <row r="902" spans="2:3" x14ac:dyDescent="0.25">
      <c r="B902" s="4">
        <v>9</v>
      </c>
      <c r="C902" s="42">
        <f t="shared" si="14"/>
        <v>-13.75</v>
      </c>
    </row>
    <row r="903" spans="2:3" x14ac:dyDescent="0.25">
      <c r="B903" s="4">
        <v>9.01</v>
      </c>
      <c r="C903" s="42">
        <f t="shared" si="14"/>
        <v>-13.7775</v>
      </c>
    </row>
    <row r="904" spans="2:3" x14ac:dyDescent="0.25">
      <c r="B904" s="4">
        <v>9.02</v>
      </c>
      <c r="C904" s="42">
        <f t="shared" si="14"/>
        <v>-13.805</v>
      </c>
    </row>
    <row r="905" spans="2:3" x14ac:dyDescent="0.25">
      <c r="B905" s="4">
        <v>9.0299999999999994</v>
      </c>
      <c r="C905" s="42">
        <f t="shared" si="14"/>
        <v>-13.832499999999998</v>
      </c>
    </row>
    <row r="906" spans="2:3" x14ac:dyDescent="0.25">
      <c r="B906" s="4">
        <v>9.0399999999999991</v>
      </c>
      <c r="C906" s="42">
        <f t="shared" si="14"/>
        <v>-13.859999999999998</v>
      </c>
    </row>
    <row r="907" spans="2:3" x14ac:dyDescent="0.25">
      <c r="B907" s="4">
        <v>9.0500000000000007</v>
      </c>
      <c r="C907" s="42">
        <f t="shared" si="14"/>
        <v>-13.887500000000003</v>
      </c>
    </row>
    <row r="908" spans="2:3" x14ac:dyDescent="0.25">
      <c r="B908" s="4">
        <v>9.06</v>
      </c>
      <c r="C908" s="42">
        <f t="shared" si="14"/>
        <v>-13.915000000000001</v>
      </c>
    </row>
    <row r="909" spans="2:3" x14ac:dyDescent="0.25">
      <c r="B909" s="4">
        <v>9.07</v>
      </c>
      <c r="C909" s="42">
        <f t="shared" si="14"/>
        <v>-13.942500000000001</v>
      </c>
    </row>
    <row r="910" spans="2:3" x14ac:dyDescent="0.25">
      <c r="B910" s="4">
        <v>9.08</v>
      </c>
      <c r="C910" s="42">
        <f t="shared" si="14"/>
        <v>-13.97</v>
      </c>
    </row>
    <row r="911" spans="2:3" x14ac:dyDescent="0.25">
      <c r="B911" s="4">
        <v>9.09</v>
      </c>
      <c r="C911" s="42">
        <f t="shared" si="14"/>
        <v>-13.997499999999999</v>
      </c>
    </row>
    <row r="912" spans="2:3" x14ac:dyDescent="0.25">
      <c r="B912" s="4">
        <v>9.1</v>
      </c>
      <c r="C912" s="42">
        <f t="shared" si="14"/>
        <v>-14.024999999999999</v>
      </c>
    </row>
    <row r="913" spans="2:3" x14ac:dyDescent="0.25">
      <c r="B913" s="4">
        <v>9.11</v>
      </c>
      <c r="C913" s="42">
        <f t="shared" si="14"/>
        <v>-14.052499999999998</v>
      </c>
    </row>
    <row r="914" spans="2:3" x14ac:dyDescent="0.25">
      <c r="B914" s="4">
        <v>9.1199999999999992</v>
      </c>
      <c r="C914" s="42">
        <f t="shared" si="14"/>
        <v>-14.079999999999998</v>
      </c>
    </row>
    <row r="915" spans="2:3" x14ac:dyDescent="0.25">
      <c r="B915" s="4">
        <v>9.1300000000000008</v>
      </c>
      <c r="C915" s="42">
        <f t="shared" si="14"/>
        <v>-14.107500000000002</v>
      </c>
    </row>
    <row r="916" spans="2:3" x14ac:dyDescent="0.25">
      <c r="B916" s="4">
        <v>9.14</v>
      </c>
      <c r="C916" s="42">
        <f t="shared" si="14"/>
        <v>-14.135000000000002</v>
      </c>
    </row>
    <row r="917" spans="2:3" x14ac:dyDescent="0.25">
      <c r="B917" s="4">
        <v>9.15</v>
      </c>
      <c r="C917" s="42">
        <f t="shared" si="14"/>
        <v>-14.162500000000001</v>
      </c>
    </row>
    <row r="918" spans="2:3" x14ac:dyDescent="0.25">
      <c r="B918" s="4">
        <v>9.16</v>
      </c>
      <c r="C918" s="42">
        <f t="shared" si="14"/>
        <v>-14.190000000000001</v>
      </c>
    </row>
    <row r="919" spans="2:3" x14ac:dyDescent="0.25">
      <c r="B919" s="4">
        <v>9.17</v>
      </c>
      <c r="C919" s="42">
        <f t="shared" si="14"/>
        <v>-14.217499999999999</v>
      </c>
    </row>
    <row r="920" spans="2:3" x14ac:dyDescent="0.25">
      <c r="B920" s="4">
        <v>9.18</v>
      </c>
      <c r="C920" s="42">
        <f t="shared" si="14"/>
        <v>-14.244999999999999</v>
      </c>
    </row>
    <row r="921" spans="2:3" x14ac:dyDescent="0.25">
      <c r="B921" s="4">
        <v>9.19</v>
      </c>
      <c r="C921" s="42">
        <f t="shared" si="14"/>
        <v>-14.272499999999999</v>
      </c>
    </row>
    <row r="922" spans="2:3" x14ac:dyDescent="0.25">
      <c r="B922" s="4">
        <v>9.1999999999999993</v>
      </c>
      <c r="C922" s="42">
        <f t="shared" si="14"/>
        <v>-14.299999999999997</v>
      </c>
    </row>
    <row r="923" spans="2:3" x14ac:dyDescent="0.25">
      <c r="B923" s="4">
        <v>9.2100000000000009</v>
      </c>
      <c r="C923" s="42">
        <f t="shared" si="14"/>
        <v>-14.327500000000002</v>
      </c>
    </row>
    <row r="924" spans="2:3" x14ac:dyDescent="0.25">
      <c r="B924" s="4">
        <v>9.2200000000000006</v>
      </c>
      <c r="C924" s="42">
        <f t="shared" si="14"/>
        <v>-14.355000000000002</v>
      </c>
    </row>
    <row r="925" spans="2:3" x14ac:dyDescent="0.25">
      <c r="B925" s="4">
        <v>9.23</v>
      </c>
      <c r="C925" s="42">
        <f t="shared" si="14"/>
        <v>-14.3825</v>
      </c>
    </row>
    <row r="926" spans="2:3" x14ac:dyDescent="0.25">
      <c r="B926" s="4">
        <v>9.24</v>
      </c>
      <c r="C926" s="42">
        <f t="shared" si="14"/>
        <v>-14.41</v>
      </c>
    </row>
    <row r="927" spans="2:3" x14ac:dyDescent="0.25">
      <c r="B927" s="4">
        <v>9.25</v>
      </c>
      <c r="C927" s="42">
        <f t="shared" si="14"/>
        <v>-14.4375</v>
      </c>
    </row>
    <row r="928" spans="2:3" x14ac:dyDescent="0.25">
      <c r="B928" s="4">
        <v>9.26</v>
      </c>
      <c r="C928" s="42">
        <f t="shared" si="14"/>
        <v>-14.465</v>
      </c>
    </row>
    <row r="929" spans="2:3" x14ac:dyDescent="0.25">
      <c r="B929" s="4">
        <v>9.27</v>
      </c>
      <c r="C929" s="42">
        <f t="shared" si="14"/>
        <v>-14.4925</v>
      </c>
    </row>
    <row r="930" spans="2:3" x14ac:dyDescent="0.25">
      <c r="B930" s="4">
        <v>9.2799999999999994</v>
      </c>
      <c r="C930" s="42">
        <f t="shared" si="14"/>
        <v>-14.519999999999998</v>
      </c>
    </row>
    <row r="931" spans="2:3" x14ac:dyDescent="0.25">
      <c r="B931" s="4">
        <v>9.2899999999999991</v>
      </c>
      <c r="C931" s="42">
        <f t="shared" si="14"/>
        <v>-14.547499999999998</v>
      </c>
    </row>
    <row r="932" spans="2:3" x14ac:dyDescent="0.25">
      <c r="B932" s="4">
        <v>9.3000000000000007</v>
      </c>
      <c r="C932" s="42">
        <f t="shared" si="14"/>
        <v>-14.575000000000003</v>
      </c>
    </row>
    <row r="933" spans="2:3" x14ac:dyDescent="0.25">
      <c r="B933" s="4">
        <v>9.31</v>
      </c>
      <c r="C933" s="42">
        <f t="shared" si="14"/>
        <v>-14.602500000000001</v>
      </c>
    </row>
    <row r="934" spans="2:3" x14ac:dyDescent="0.25">
      <c r="B934" s="4">
        <v>9.32</v>
      </c>
      <c r="C934" s="42">
        <f t="shared" si="14"/>
        <v>-14.63</v>
      </c>
    </row>
    <row r="935" spans="2:3" x14ac:dyDescent="0.25">
      <c r="B935" s="4">
        <v>9.33</v>
      </c>
      <c r="C935" s="42">
        <f t="shared" si="14"/>
        <v>-14.657500000000001</v>
      </c>
    </row>
    <row r="936" spans="2:3" x14ac:dyDescent="0.25">
      <c r="B936" s="4">
        <v>9.34</v>
      </c>
      <c r="C936" s="42">
        <f t="shared" si="14"/>
        <v>-14.684999999999999</v>
      </c>
    </row>
    <row r="937" spans="2:3" x14ac:dyDescent="0.25">
      <c r="B937" s="4">
        <v>9.35</v>
      </c>
      <c r="C937" s="42">
        <f t="shared" si="14"/>
        <v>-14.712499999999999</v>
      </c>
    </row>
    <row r="938" spans="2:3" x14ac:dyDescent="0.25">
      <c r="B938" s="4">
        <v>9.36</v>
      </c>
      <c r="C938" s="42">
        <f t="shared" si="14"/>
        <v>-14.739999999999998</v>
      </c>
    </row>
    <row r="939" spans="2:3" x14ac:dyDescent="0.25">
      <c r="B939" s="4">
        <v>9.3699999999999992</v>
      </c>
      <c r="C939" s="42">
        <f t="shared" si="14"/>
        <v>-14.767499999999998</v>
      </c>
    </row>
    <row r="940" spans="2:3" x14ac:dyDescent="0.25">
      <c r="B940" s="4">
        <v>9.3800000000000008</v>
      </c>
      <c r="C940" s="42">
        <f t="shared" si="14"/>
        <v>-14.795000000000002</v>
      </c>
    </row>
    <row r="941" spans="2:3" x14ac:dyDescent="0.25">
      <c r="B941" s="4">
        <v>9.39</v>
      </c>
      <c r="C941" s="42">
        <f t="shared" si="14"/>
        <v>-14.822500000000002</v>
      </c>
    </row>
    <row r="942" spans="2:3" x14ac:dyDescent="0.25">
      <c r="B942" s="4">
        <v>9.4</v>
      </c>
      <c r="C942" s="42">
        <f t="shared" si="14"/>
        <v>-14.850000000000001</v>
      </c>
    </row>
    <row r="943" spans="2:3" x14ac:dyDescent="0.25">
      <c r="B943" s="4">
        <v>9.41</v>
      </c>
      <c r="C943" s="42">
        <f t="shared" si="14"/>
        <v>-14.877500000000001</v>
      </c>
    </row>
    <row r="944" spans="2:3" x14ac:dyDescent="0.25">
      <c r="B944" s="4">
        <v>9.42</v>
      </c>
      <c r="C944" s="42">
        <f t="shared" si="14"/>
        <v>-14.904999999999999</v>
      </c>
    </row>
    <row r="945" spans="2:3" x14ac:dyDescent="0.25">
      <c r="B945" s="4">
        <v>9.43</v>
      </c>
      <c r="C945" s="42">
        <f t="shared" si="14"/>
        <v>-14.932499999999999</v>
      </c>
    </row>
    <row r="946" spans="2:3" x14ac:dyDescent="0.25">
      <c r="B946" s="4">
        <v>9.44</v>
      </c>
      <c r="C946" s="42">
        <f t="shared" si="14"/>
        <v>-14.959999999999999</v>
      </c>
    </row>
    <row r="947" spans="2:3" x14ac:dyDescent="0.25">
      <c r="B947" s="4">
        <v>9.4499999999999993</v>
      </c>
      <c r="C947" s="42">
        <f t="shared" si="14"/>
        <v>-14.987499999999997</v>
      </c>
    </row>
    <row r="948" spans="2:3" x14ac:dyDescent="0.25">
      <c r="B948" s="4">
        <v>9.4600000000000009</v>
      </c>
      <c r="C948" s="42">
        <f t="shared" si="14"/>
        <v>-15.015000000000002</v>
      </c>
    </row>
    <row r="949" spans="2:3" x14ac:dyDescent="0.25">
      <c r="B949" s="4">
        <v>9.4700000000000006</v>
      </c>
      <c r="C949" s="42">
        <f t="shared" si="14"/>
        <v>-15.042500000000002</v>
      </c>
    </row>
    <row r="950" spans="2:3" x14ac:dyDescent="0.25">
      <c r="B950" s="4">
        <v>9.48</v>
      </c>
      <c r="C950" s="42">
        <f t="shared" si="14"/>
        <v>-15.07</v>
      </c>
    </row>
    <row r="951" spans="2:3" x14ac:dyDescent="0.25">
      <c r="B951" s="4">
        <v>9.49</v>
      </c>
      <c r="C951" s="42">
        <f t="shared" si="14"/>
        <v>-15.0975</v>
      </c>
    </row>
    <row r="952" spans="2:3" x14ac:dyDescent="0.25">
      <c r="B952" s="4">
        <v>9.5</v>
      </c>
      <c r="C952" s="42">
        <f t="shared" si="14"/>
        <v>-15.125</v>
      </c>
    </row>
    <row r="953" spans="2:3" x14ac:dyDescent="0.25">
      <c r="B953" s="4">
        <v>9.51</v>
      </c>
      <c r="C953" s="42">
        <f t="shared" si="14"/>
        <v>-15.1525</v>
      </c>
    </row>
    <row r="954" spans="2:3" x14ac:dyDescent="0.25">
      <c r="B954" s="4">
        <v>9.52</v>
      </c>
      <c r="C954" s="42">
        <f t="shared" si="14"/>
        <v>-15.18</v>
      </c>
    </row>
    <row r="955" spans="2:3" x14ac:dyDescent="0.25">
      <c r="B955" s="4">
        <v>9.5299999999999994</v>
      </c>
      <c r="C955" s="42">
        <f t="shared" si="14"/>
        <v>-15.207499999999998</v>
      </c>
    </row>
    <row r="956" spans="2:3" x14ac:dyDescent="0.25">
      <c r="B956" s="4">
        <v>9.5399999999999991</v>
      </c>
      <c r="C956" s="42">
        <f t="shared" si="14"/>
        <v>-15.234999999999998</v>
      </c>
    </row>
    <row r="957" spans="2:3" x14ac:dyDescent="0.25">
      <c r="B957" s="4">
        <v>9.5500000000000007</v>
      </c>
      <c r="C957" s="42">
        <f t="shared" si="14"/>
        <v>-15.262500000000003</v>
      </c>
    </row>
    <row r="958" spans="2:3" x14ac:dyDescent="0.25">
      <c r="B958" s="4">
        <v>9.56</v>
      </c>
      <c r="C958" s="42">
        <f t="shared" si="14"/>
        <v>-15.290000000000001</v>
      </c>
    </row>
    <row r="959" spans="2:3" x14ac:dyDescent="0.25">
      <c r="B959" s="4">
        <v>9.57</v>
      </c>
      <c r="C959" s="42">
        <f t="shared" si="14"/>
        <v>-15.317500000000001</v>
      </c>
    </row>
    <row r="960" spans="2:3" x14ac:dyDescent="0.25">
      <c r="B960" s="4">
        <v>9.58</v>
      </c>
      <c r="C960" s="42">
        <f t="shared" si="14"/>
        <v>-15.345000000000001</v>
      </c>
    </row>
    <row r="961" spans="2:3" x14ac:dyDescent="0.25">
      <c r="B961" s="4">
        <v>9.59</v>
      </c>
      <c r="C961" s="42">
        <f t="shared" si="14"/>
        <v>-15.372499999999999</v>
      </c>
    </row>
    <row r="962" spans="2:3" x14ac:dyDescent="0.25">
      <c r="B962" s="4">
        <v>9.6</v>
      </c>
      <c r="C962" s="42">
        <f t="shared" si="14"/>
        <v>-15.399999999999999</v>
      </c>
    </row>
    <row r="963" spans="2:3" x14ac:dyDescent="0.25">
      <c r="B963" s="4">
        <v>9.61</v>
      </c>
      <c r="C963" s="42">
        <f t="shared" si="14"/>
        <v>-15.427499999999998</v>
      </c>
    </row>
    <row r="964" spans="2:3" x14ac:dyDescent="0.25">
      <c r="B964" s="4">
        <v>9.6199999999999992</v>
      </c>
      <c r="C964" s="42">
        <f t="shared" ref="C964:C1002" si="15">11*(1-(B964/2*0.5))</f>
        <v>-15.454999999999998</v>
      </c>
    </row>
    <row r="965" spans="2:3" x14ac:dyDescent="0.25">
      <c r="B965" s="4">
        <v>9.6300000000000008</v>
      </c>
      <c r="C965" s="42">
        <f t="shared" si="15"/>
        <v>-15.482500000000002</v>
      </c>
    </row>
    <row r="966" spans="2:3" x14ac:dyDescent="0.25">
      <c r="B966" s="4">
        <v>9.64</v>
      </c>
      <c r="C966" s="42">
        <f t="shared" si="15"/>
        <v>-15.510000000000002</v>
      </c>
    </row>
    <row r="967" spans="2:3" x14ac:dyDescent="0.25">
      <c r="B967" s="4">
        <v>9.65</v>
      </c>
      <c r="C967" s="42">
        <f t="shared" si="15"/>
        <v>-15.537500000000001</v>
      </c>
    </row>
    <row r="968" spans="2:3" x14ac:dyDescent="0.25">
      <c r="B968" s="4">
        <v>9.66</v>
      </c>
      <c r="C968" s="42">
        <f t="shared" si="15"/>
        <v>-15.565000000000001</v>
      </c>
    </row>
    <row r="969" spans="2:3" x14ac:dyDescent="0.25">
      <c r="B969" s="4">
        <v>9.67</v>
      </c>
      <c r="C969" s="42">
        <f t="shared" si="15"/>
        <v>-15.592499999999999</v>
      </c>
    </row>
    <row r="970" spans="2:3" x14ac:dyDescent="0.25">
      <c r="B970" s="4">
        <v>9.68</v>
      </c>
      <c r="C970" s="42">
        <f t="shared" si="15"/>
        <v>-15.62</v>
      </c>
    </row>
    <row r="971" spans="2:3" x14ac:dyDescent="0.25">
      <c r="B971" s="4">
        <v>9.69</v>
      </c>
      <c r="C971" s="42">
        <f t="shared" si="15"/>
        <v>-15.647499999999999</v>
      </c>
    </row>
    <row r="972" spans="2:3" x14ac:dyDescent="0.25">
      <c r="B972" s="4">
        <v>9.6999999999999993</v>
      </c>
      <c r="C972" s="42">
        <f t="shared" si="15"/>
        <v>-15.674999999999997</v>
      </c>
    </row>
    <row r="973" spans="2:3" x14ac:dyDescent="0.25">
      <c r="B973" s="4">
        <v>9.7100000000000009</v>
      </c>
      <c r="C973" s="42">
        <f t="shared" si="15"/>
        <v>-15.702500000000002</v>
      </c>
    </row>
    <row r="974" spans="2:3" x14ac:dyDescent="0.25">
      <c r="B974" s="4">
        <v>9.7200000000000006</v>
      </c>
      <c r="C974" s="42">
        <f t="shared" si="15"/>
        <v>-15.730000000000002</v>
      </c>
    </row>
    <row r="975" spans="2:3" x14ac:dyDescent="0.25">
      <c r="B975" s="4">
        <v>9.73</v>
      </c>
      <c r="C975" s="42">
        <f t="shared" si="15"/>
        <v>-15.7575</v>
      </c>
    </row>
    <row r="976" spans="2:3" x14ac:dyDescent="0.25">
      <c r="B976" s="4">
        <v>9.74</v>
      </c>
      <c r="C976" s="42">
        <f t="shared" si="15"/>
        <v>-15.785</v>
      </c>
    </row>
    <row r="977" spans="2:3" x14ac:dyDescent="0.25">
      <c r="B977" s="4">
        <v>9.75</v>
      </c>
      <c r="C977" s="42">
        <f t="shared" si="15"/>
        <v>-15.8125</v>
      </c>
    </row>
    <row r="978" spans="2:3" x14ac:dyDescent="0.25">
      <c r="B978" s="4">
        <v>9.76</v>
      </c>
      <c r="C978" s="42">
        <f t="shared" si="15"/>
        <v>-15.84</v>
      </c>
    </row>
    <row r="979" spans="2:3" x14ac:dyDescent="0.25">
      <c r="B979" s="4">
        <v>9.77</v>
      </c>
      <c r="C979" s="42">
        <f t="shared" si="15"/>
        <v>-15.8675</v>
      </c>
    </row>
    <row r="980" spans="2:3" x14ac:dyDescent="0.25">
      <c r="B980" s="4">
        <v>9.7799999999999994</v>
      </c>
      <c r="C980" s="42">
        <f t="shared" si="15"/>
        <v>-15.894999999999998</v>
      </c>
    </row>
    <row r="981" spans="2:3" x14ac:dyDescent="0.25">
      <c r="B981" s="4">
        <v>9.7899999999999991</v>
      </c>
      <c r="C981" s="42">
        <f t="shared" si="15"/>
        <v>-15.922499999999998</v>
      </c>
    </row>
    <row r="982" spans="2:3" x14ac:dyDescent="0.25">
      <c r="B982" s="4">
        <v>9.8000000000000007</v>
      </c>
      <c r="C982" s="42">
        <f t="shared" si="15"/>
        <v>-15.950000000000003</v>
      </c>
    </row>
    <row r="983" spans="2:3" x14ac:dyDescent="0.25">
      <c r="B983" s="4">
        <v>9.81</v>
      </c>
      <c r="C983" s="42">
        <f t="shared" si="15"/>
        <v>-15.977500000000001</v>
      </c>
    </row>
    <row r="984" spans="2:3" x14ac:dyDescent="0.25">
      <c r="B984" s="4">
        <v>9.82</v>
      </c>
      <c r="C984" s="42">
        <f t="shared" si="15"/>
        <v>-16.005000000000003</v>
      </c>
    </row>
    <row r="985" spans="2:3" x14ac:dyDescent="0.25">
      <c r="B985" s="4">
        <v>9.83</v>
      </c>
      <c r="C985" s="42">
        <f t="shared" si="15"/>
        <v>-16.032499999999999</v>
      </c>
    </row>
    <row r="986" spans="2:3" x14ac:dyDescent="0.25">
      <c r="B986" s="4">
        <v>9.84</v>
      </c>
      <c r="C986" s="42">
        <f t="shared" si="15"/>
        <v>-16.059999999999999</v>
      </c>
    </row>
    <row r="987" spans="2:3" x14ac:dyDescent="0.25">
      <c r="B987" s="4">
        <v>9.85</v>
      </c>
      <c r="C987" s="42">
        <f t="shared" si="15"/>
        <v>-16.087499999999999</v>
      </c>
    </row>
    <row r="988" spans="2:3" x14ac:dyDescent="0.25">
      <c r="B988" s="4">
        <v>9.86</v>
      </c>
      <c r="C988" s="42">
        <f t="shared" si="15"/>
        <v>-16.114999999999998</v>
      </c>
    </row>
    <row r="989" spans="2:3" x14ac:dyDescent="0.25">
      <c r="B989" s="4">
        <v>9.8699999999999992</v>
      </c>
      <c r="C989" s="42">
        <f t="shared" si="15"/>
        <v>-16.142499999999998</v>
      </c>
    </row>
    <row r="990" spans="2:3" x14ac:dyDescent="0.25">
      <c r="B990" s="4">
        <v>9.8800000000000008</v>
      </c>
      <c r="C990" s="42">
        <f t="shared" si="15"/>
        <v>-16.170000000000002</v>
      </c>
    </row>
    <row r="991" spans="2:3" x14ac:dyDescent="0.25">
      <c r="B991" s="4">
        <v>9.89</v>
      </c>
      <c r="C991" s="42">
        <f t="shared" si="15"/>
        <v>-16.197500000000002</v>
      </c>
    </row>
    <row r="992" spans="2:3" x14ac:dyDescent="0.25">
      <c r="B992" s="4">
        <v>9.9</v>
      </c>
      <c r="C992" s="42">
        <f t="shared" si="15"/>
        <v>-16.225000000000001</v>
      </c>
    </row>
    <row r="993" spans="2:3" x14ac:dyDescent="0.25">
      <c r="B993" s="4">
        <v>9.91</v>
      </c>
      <c r="C993" s="42">
        <f t="shared" si="15"/>
        <v>-16.252500000000001</v>
      </c>
    </row>
    <row r="994" spans="2:3" x14ac:dyDescent="0.25">
      <c r="B994" s="4">
        <v>9.92</v>
      </c>
      <c r="C994" s="42">
        <f t="shared" si="15"/>
        <v>-16.28</v>
      </c>
    </row>
    <row r="995" spans="2:3" x14ac:dyDescent="0.25">
      <c r="B995" s="4">
        <v>9.93</v>
      </c>
      <c r="C995" s="42">
        <f t="shared" si="15"/>
        <v>-16.307499999999997</v>
      </c>
    </row>
    <row r="996" spans="2:3" x14ac:dyDescent="0.25">
      <c r="B996" s="4">
        <v>9.94</v>
      </c>
      <c r="C996" s="42">
        <f t="shared" si="15"/>
        <v>-16.334999999999997</v>
      </c>
    </row>
    <row r="997" spans="2:3" x14ac:dyDescent="0.25">
      <c r="B997" s="4">
        <v>9.9499999999999993</v>
      </c>
      <c r="C997" s="42">
        <f t="shared" si="15"/>
        <v>-16.362499999999997</v>
      </c>
    </row>
    <row r="998" spans="2:3" x14ac:dyDescent="0.25">
      <c r="B998" s="4">
        <v>9.9600000000000009</v>
      </c>
      <c r="C998" s="42">
        <f t="shared" si="15"/>
        <v>-16.39</v>
      </c>
    </row>
    <row r="999" spans="2:3" x14ac:dyDescent="0.25">
      <c r="B999" s="4">
        <v>9.9700000000000006</v>
      </c>
      <c r="C999" s="42">
        <f t="shared" si="15"/>
        <v>-16.4175</v>
      </c>
    </row>
    <row r="1000" spans="2:3" x14ac:dyDescent="0.25">
      <c r="B1000" s="4">
        <v>9.98</v>
      </c>
      <c r="C1000" s="42">
        <f t="shared" si="15"/>
        <v>-16.445</v>
      </c>
    </row>
    <row r="1001" spans="2:3" x14ac:dyDescent="0.25">
      <c r="B1001" s="4">
        <v>9.99</v>
      </c>
      <c r="C1001" s="42">
        <f t="shared" si="15"/>
        <v>-16.4725</v>
      </c>
    </row>
    <row r="1002" spans="2:3" ht="15.75" thickBot="1" x14ac:dyDescent="0.3">
      <c r="B1002" s="8">
        <v>10</v>
      </c>
      <c r="C1002" s="42">
        <f t="shared" si="15"/>
        <v>-16.5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EBAA9-90A5-4E1D-B551-FFDD41CD8AC8}">
  <sheetPr codeName="Planilha5"/>
  <dimension ref="B4:H27"/>
  <sheetViews>
    <sheetView showGridLines="0" showRowColHeaders="0" workbookViewId="0">
      <selection activeCell="Q10" sqref="Q10"/>
    </sheetView>
  </sheetViews>
  <sheetFormatPr defaultRowHeight="15" x14ac:dyDescent="0.25"/>
  <cols>
    <col min="4" max="4" width="14.7109375" customWidth="1"/>
  </cols>
  <sheetData>
    <row r="4" spans="2:8" ht="15.75" thickBot="1" x14ac:dyDescent="0.3">
      <c r="F4" s="36"/>
      <c r="G4" s="36"/>
      <c r="H4" s="36"/>
    </row>
    <row r="5" spans="2:8" ht="15.75" thickBot="1" x14ac:dyDescent="0.3">
      <c r="B5" s="2" t="s">
        <v>13</v>
      </c>
      <c r="C5" s="2" t="s">
        <v>14</v>
      </c>
      <c r="D5" s="54" t="s">
        <v>15</v>
      </c>
      <c r="F5" s="36"/>
      <c r="G5" s="36"/>
      <c r="H5" s="36"/>
    </row>
    <row r="6" spans="2:8" ht="15.75" thickBot="1" x14ac:dyDescent="0.3">
      <c r="B6" s="51"/>
      <c r="C6" s="52"/>
      <c r="D6" s="53" t="str">
        <f>IF(SUM(B6:C6)=0,"1",IF(SUM(B6:C6)=1,"1",IF(SUM(B6:C6)=2,"0",)))</f>
        <v>1</v>
      </c>
      <c r="F6" s="36"/>
      <c r="G6" s="36"/>
      <c r="H6" s="36"/>
    </row>
    <row r="7" spans="2:8" x14ac:dyDescent="0.25">
      <c r="F7" s="36"/>
      <c r="G7" s="36"/>
      <c r="H7" s="36"/>
    </row>
    <row r="8" spans="2:8" x14ac:dyDescent="0.25">
      <c r="B8" s="13"/>
      <c r="C8" s="13"/>
      <c r="D8" s="12"/>
      <c r="F8" s="36"/>
      <c r="G8" s="36"/>
      <c r="H8" s="36"/>
    </row>
    <row r="9" spans="2:8" x14ac:dyDescent="0.25">
      <c r="B9" s="13"/>
      <c r="C9" s="13"/>
      <c r="D9" s="13"/>
    </row>
    <row r="11" spans="2:8" ht="15.75" thickBot="1" x14ac:dyDescent="0.3"/>
    <row r="12" spans="2:8" ht="15.75" thickBot="1" x14ac:dyDescent="0.3">
      <c r="B12" s="2" t="s">
        <v>13</v>
      </c>
      <c r="C12" s="2" t="s">
        <v>14</v>
      </c>
      <c r="D12" s="2" t="s">
        <v>15</v>
      </c>
    </row>
    <row r="13" spans="2:8" ht="15.75" thickBot="1" x14ac:dyDescent="0.3">
      <c r="B13" s="51"/>
      <c r="C13" s="52"/>
      <c r="D13" s="53" t="str">
        <f>IF(SUM(B13:C13)=0,"1",IF(SUM(B13:C13)=1,"0",IF(SUM(B13:C13)=2,"0",)))</f>
        <v>1</v>
      </c>
    </row>
    <row r="18" spans="2:4" ht="15.75" thickBot="1" x14ac:dyDescent="0.3"/>
    <row r="19" spans="2:4" ht="15.75" thickBot="1" x14ac:dyDescent="0.3">
      <c r="B19" s="2" t="s">
        <v>13</v>
      </c>
      <c r="C19" s="2" t="s">
        <v>14</v>
      </c>
      <c r="D19" s="2" t="s">
        <v>15</v>
      </c>
    </row>
    <row r="20" spans="2:4" ht="15.75" thickBot="1" x14ac:dyDescent="0.3">
      <c r="B20" s="51"/>
      <c r="C20" s="52"/>
      <c r="D20" s="53" t="str">
        <f>IF(SUM(B20:C20)=0,"0",IF(SUM(B20:C20)=1,"0",IF(SUM(B20:C20)=2,"1",)))</f>
        <v>0</v>
      </c>
    </row>
    <row r="25" spans="2:4" ht="15.75" thickBot="1" x14ac:dyDescent="0.3"/>
    <row r="26" spans="2:4" ht="15.75" thickBot="1" x14ac:dyDescent="0.3">
      <c r="B26" s="2" t="s">
        <v>13</v>
      </c>
      <c r="C26" s="2" t="s">
        <v>14</v>
      </c>
      <c r="D26" s="2" t="s">
        <v>15</v>
      </c>
    </row>
    <row r="27" spans="2:4" ht="15.75" thickBot="1" x14ac:dyDescent="0.3">
      <c r="B27" s="51"/>
      <c r="C27" s="52"/>
      <c r="D27" s="53" t="str">
        <f>IF(SUM(B27:C27)=0,"0",IF(SUM(B27:C27)=1,"1",IF(SUM(B27:C27)=2,"1",)))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ANO">
                <anchor moveWithCells="1" sizeWithCells="1">
                  <from>
                    <xdr:col>6</xdr:col>
                    <xdr:colOff>9525</xdr:colOff>
                    <xdr:row>2</xdr:row>
                    <xdr:rowOff>190500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OR">
                <anchor moveWithCells="1" sizeWithCells="1">
                  <from>
                    <xdr:col>6</xdr:col>
                    <xdr:colOff>0</xdr:colOff>
                    <xdr:row>9</xdr:row>
                    <xdr:rowOff>180975</xdr:rowOff>
                  </from>
                  <to>
                    <xdr:col>9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PLAND1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PLOR">
                <anchor moveWithCells="1" sizeWithCells="1">
                  <from>
                    <xdr:col>6</xdr:col>
                    <xdr:colOff>0</xdr:colOff>
                    <xdr:row>23</xdr:row>
                    <xdr:rowOff>171450</xdr:rowOff>
                  </from>
                  <to>
                    <xdr:col>9</xdr:col>
                    <xdr:colOff>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8" name="Button 7">
              <controlPr defaultSize="0" print="0" autoFill="0" autoPict="0" macro="[0]!RESET_NOR">
                <anchor moveWithCells="1" sizeWithCells="1">
                  <from>
                    <xdr:col>9</xdr:col>
                    <xdr:colOff>590550</xdr:colOff>
                    <xdr:row>9</xdr:row>
                    <xdr:rowOff>152400</xdr:rowOff>
                  </from>
                  <to>
                    <xdr:col>12</xdr:col>
                    <xdr:colOff>590550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Button 8">
              <controlPr defaultSize="0" print="0" autoFill="0" autoPict="0" macro="[0]!RESET_AND">
                <anchor moveWithCells="1" sizeWithCells="1">
                  <from>
                    <xdr:col>9</xdr:col>
                    <xdr:colOff>600075</xdr:colOff>
                    <xdr:row>16</xdr:row>
                    <xdr:rowOff>180975</xdr:rowOff>
                  </from>
                  <to>
                    <xdr:col>12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Button 9">
              <controlPr defaultSize="0" print="0" autoFill="0" autoPict="0" macro="[0]!RESET_NANO">
                <anchor moveWithCells="1" sizeWithCells="1">
                  <from>
                    <xdr:col>9</xdr:col>
                    <xdr:colOff>590550</xdr:colOff>
                    <xdr:row>2</xdr:row>
                    <xdr:rowOff>180975</xdr:rowOff>
                  </from>
                  <to>
                    <xdr:col>12</xdr:col>
                    <xdr:colOff>590550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Button 11">
              <controlPr defaultSize="0" print="0" autoFill="0" autoPict="0" macro="[0]!RESET_OR">
                <anchor moveWithCells="1" sizeWithCells="1">
                  <from>
                    <xdr:col>9</xdr:col>
                    <xdr:colOff>581025</xdr:colOff>
                    <xdr:row>23</xdr:row>
                    <xdr:rowOff>142875</xdr:rowOff>
                  </from>
                  <to>
                    <xdr:col>12</xdr:col>
                    <xdr:colOff>581025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EA0-A3C1-406A-96E0-3085249866C0}">
  <sheetPr codeName="Planilha6"/>
  <dimension ref="B1:Q27"/>
  <sheetViews>
    <sheetView zoomScale="115" zoomScaleNormal="115" workbookViewId="0">
      <selection activeCell="M18" sqref="M18"/>
    </sheetView>
  </sheetViews>
  <sheetFormatPr defaultRowHeight="15" x14ac:dyDescent="0.25"/>
  <cols>
    <col min="1" max="1" width="12.5703125" customWidth="1"/>
    <col min="2" max="2" width="15.7109375" customWidth="1"/>
    <col min="3" max="3" width="9.140625" customWidth="1"/>
    <col min="4" max="4" width="4.140625" customWidth="1"/>
    <col min="5" max="5" width="9.140625" customWidth="1"/>
    <col min="6" max="6" width="15.7109375" customWidth="1"/>
    <col min="11" max="11" width="12.5703125" customWidth="1"/>
    <col min="12" max="12" width="12.140625" customWidth="1"/>
    <col min="15" max="16" width="14.85546875" customWidth="1"/>
    <col min="17" max="17" width="16.28515625" customWidth="1"/>
    <col min="18" max="18" width="16" customWidth="1"/>
  </cols>
  <sheetData>
    <row r="1" spans="2:17" ht="15.75" thickBot="1" x14ac:dyDescent="0.3"/>
    <row r="2" spans="2:17" ht="15.75" thickBot="1" x14ac:dyDescent="0.3">
      <c r="B2" s="86" t="s">
        <v>23</v>
      </c>
      <c r="C2" s="87"/>
      <c r="D2" s="87"/>
      <c r="E2" s="87"/>
      <c r="F2" s="88"/>
    </row>
    <row r="3" spans="2:17" x14ac:dyDescent="0.25">
      <c r="B3" s="60" t="s">
        <v>17</v>
      </c>
      <c r="C3" s="61"/>
      <c r="D3" s="41" t="s">
        <v>24</v>
      </c>
      <c r="E3" s="61"/>
      <c r="F3" s="62" t="s">
        <v>18</v>
      </c>
      <c r="K3" s="83" t="s">
        <v>25</v>
      </c>
      <c r="L3" s="84"/>
      <c r="M3" s="84"/>
      <c r="N3" s="84"/>
      <c r="O3" s="84"/>
      <c r="P3" s="84"/>
      <c r="Q3" s="85"/>
    </row>
    <row r="4" spans="2:17" x14ac:dyDescent="0.25">
      <c r="B4" s="56" t="s">
        <v>17</v>
      </c>
      <c r="C4" s="61"/>
      <c r="D4" s="15" t="s">
        <v>24</v>
      </c>
      <c r="E4" s="16"/>
      <c r="F4" s="57" t="s">
        <v>19</v>
      </c>
      <c r="K4" s="73" t="s">
        <v>26</v>
      </c>
      <c r="L4" s="3" t="s">
        <v>32</v>
      </c>
      <c r="M4" s="3" t="s">
        <v>31</v>
      </c>
      <c r="N4" s="3" t="s">
        <v>30</v>
      </c>
      <c r="O4" s="3" t="s">
        <v>33</v>
      </c>
      <c r="P4" s="3" t="s">
        <v>35</v>
      </c>
      <c r="Q4" s="72" t="s">
        <v>34</v>
      </c>
    </row>
    <row r="5" spans="2:17" x14ac:dyDescent="0.25">
      <c r="B5" s="56" t="s">
        <v>17</v>
      </c>
      <c r="C5" s="61"/>
      <c r="D5" s="15" t="s">
        <v>24</v>
      </c>
      <c r="E5" s="16"/>
      <c r="F5" s="57" t="s">
        <v>20</v>
      </c>
      <c r="K5" s="4" t="s">
        <v>22</v>
      </c>
      <c r="L5" s="16"/>
      <c r="M5" s="16"/>
      <c r="N5" s="16"/>
      <c r="O5" s="15">
        <f>SUM(E8:E11)+C3+C15+C20+C26</f>
        <v>0</v>
      </c>
      <c r="P5" s="15">
        <f>SUM(C8:C11)+E3+E20+E15+E26</f>
        <v>0</v>
      </c>
      <c r="Q5" s="45"/>
    </row>
    <row r="6" spans="2:17" x14ac:dyDescent="0.25">
      <c r="B6" s="56" t="s">
        <v>17</v>
      </c>
      <c r="C6" s="61"/>
      <c r="D6" s="15" t="s">
        <v>24</v>
      </c>
      <c r="E6" s="16"/>
      <c r="F6" s="57" t="s">
        <v>21</v>
      </c>
      <c r="K6" s="4" t="s">
        <v>17</v>
      </c>
      <c r="L6" s="16"/>
      <c r="M6" s="16"/>
      <c r="N6" s="16"/>
      <c r="O6" s="15">
        <f>SUM(E3:E6)+C8+C13+C18+C23</f>
        <v>0</v>
      </c>
      <c r="P6" s="15">
        <f>SUM(C3:C6)+E8+E13+E18+E23</f>
        <v>0</v>
      </c>
      <c r="Q6" s="45"/>
    </row>
    <row r="7" spans="2:17" x14ac:dyDescent="0.25">
      <c r="B7" s="80"/>
      <c r="C7" s="81"/>
      <c r="D7" s="81"/>
      <c r="E7" s="81"/>
      <c r="F7" s="82"/>
      <c r="K7" s="4" t="s">
        <v>21</v>
      </c>
      <c r="L7" s="16"/>
      <c r="M7" s="16"/>
      <c r="N7" s="16"/>
      <c r="O7" s="15">
        <f>SUM(E23:E26)+C21+C16+C11+C6</f>
        <v>0</v>
      </c>
      <c r="P7" s="15">
        <f>SUM(C23:C26)+E21+E16+E11+E6</f>
        <v>0</v>
      </c>
      <c r="Q7" s="45"/>
    </row>
    <row r="8" spans="2:17" x14ac:dyDescent="0.25">
      <c r="B8" s="56" t="s">
        <v>22</v>
      </c>
      <c r="C8" s="16"/>
      <c r="D8" s="15" t="s">
        <v>24</v>
      </c>
      <c r="E8" s="16"/>
      <c r="F8" s="57" t="s">
        <v>17</v>
      </c>
      <c r="K8" s="4" t="s">
        <v>20</v>
      </c>
      <c r="L8" s="16"/>
      <c r="M8" s="16"/>
      <c r="N8" s="16"/>
      <c r="O8" s="15">
        <f>SUM(E18:E21)+C25+C14+C10+C5</f>
        <v>0</v>
      </c>
      <c r="P8" s="15">
        <f>SUM(C18:C21)+E25+E14+E10+E5</f>
        <v>0</v>
      </c>
      <c r="Q8" s="45"/>
    </row>
    <row r="9" spans="2:17" ht="15.75" thickBot="1" x14ac:dyDescent="0.3">
      <c r="B9" s="56" t="s">
        <v>22</v>
      </c>
      <c r="C9" s="16"/>
      <c r="D9" s="15" t="s">
        <v>24</v>
      </c>
      <c r="E9" s="16"/>
      <c r="F9" s="57" t="s">
        <v>19</v>
      </c>
      <c r="K9" s="8" t="s">
        <v>19</v>
      </c>
      <c r="L9" s="38"/>
      <c r="M9" s="38"/>
      <c r="N9" s="38"/>
      <c r="O9" s="50">
        <f>SUM(E13:E16)+C19+C24+C9+C4</f>
        <v>0</v>
      </c>
      <c r="P9" s="50">
        <f>SUM(C13:C16)+E24+E19+E9+E4</f>
        <v>0</v>
      </c>
      <c r="Q9" s="39"/>
    </row>
    <row r="10" spans="2:17" x14ac:dyDescent="0.25">
      <c r="B10" s="56" t="s">
        <v>22</v>
      </c>
      <c r="C10" s="16"/>
      <c r="D10" s="15" t="s">
        <v>24</v>
      </c>
      <c r="E10" s="16"/>
      <c r="F10" s="57" t="s">
        <v>20</v>
      </c>
      <c r="L10" s="35"/>
    </row>
    <row r="11" spans="2:17" x14ac:dyDescent="0.25">
      <c r="B11" s="56" t="s">
        <v>22</v>
      </c>
      <c r="C11" s="16"/>
      <c r="D11" s="15" t="s">
        <v>24</v>
      </c>
      <c r="E11" s="16"/>
      <c r="F11" s="57" t="s">
        <v>21</v>
      </c>
    </row>
    <row r="12" spans="2:17" x14ac:dyDescent="0.25">
      <c r="B12" s="80"/>
      <c r="C12" s="81"/>
      <c r="D12" s="81"/>
      <c r="E12" s="81"/>
      <c r="F12" s="82"/>
    </row>
    <row r="13" spans="2:17" x14ac:dyDescent="0.25">
      <c r="B13" s="56" t="s">
        <v>19</v>
      </c>
      <c r="C13" s="16"/>
      <c r="D13" s="15" t="s">
        <v>24</v>
      </c>
      <c r="E13" s="16"/>
      <c r="F13" s="57" t="s">
        <v>17</v>
      </c>
    </row>
    <row r="14" spans="2:17" x14ac:dyDescent="0.25">
      <c r="B14" s="56" t="s">
        <v>19</v>
      </c>
      <c r="C14" s="16"/>
      <c r="D14" s="15" t="s">
        <v>24</v>
      </c>
      <c r="E14" s="16"/>
      <c r="F14" s="57" t="s">
        <v>20</v>
      </c>
    </row>
    <row r="15" spans="2:17" x14ac:dyDescent="0.25">
      <c r="B15" s="56" t="s">
        <v>19</v>
      </c>
      <c r="C15" s="16"/>
      <c r="D15" s="15" t="s">
        <v>24</v>
      </c>
      <c r="E15" s="16"/>
      <c r="F15" s="57" t="s">
        <v>22</v>
      </c>
    </row>
    <row r="16" spans="2:17" x14ac:dyDescent="0.25">
      <c r="B16" s="56" t="s">
        <v>19</v>
      </c>
      <c r="C16" s="16"/>
      <c r="D16" s="15" t="s">
        <v>24</v>
      </c>
      <c r="E16" s="16"/>
      <c r="F16" s="57" t="s">
        <v>21</v>
      </c>
    </row>
    <row r="17" spans="2:6" x14ac:dyDescent="0.25">
      <c r="B17" s="80"/>
      <c r="C17" s="81"/>
      <c r="D17" s="81"/>
      <c r="E17" s="81"/>
      <c r="F17" s="82"/>
    </row>
    <row r="18" spans="2:6" x14ac:dyDescent="0.25">
      <c r="B18" s="56" t="s">
        <v>20</v>
      </c>
      <c r="C18" s="16"/>
      <c r="D18" s="15" t="s">
        <v>24</v>
      </c>
      <c r="E18" s="16"/>
      <c r="F18" s="57" t="s">
        <v>17</v>
      </c>
    </row>
    <row r="19" spans="2:6" x14ac:dyDescent="0.25">
      <c r="B19" s="56" t="s">
        <v>20</v>
      </c>
      <c r="C19" s="16"/>
      <c r="D19" s="15" t="s">
        <v>24</v>
      </c>
      <c r="E19" s="16"/>
      <c r="F19" s="57" t="s">
        <v>19</v>
      </c>
    </row>
    <row r="20" spans="2:6" x14ac:dyDescent="0.25">
      <c r="B20" s="56" t="s">
        <v>20</v>
      </c>
      <c r="C20" s="16"/>
      <c r="D20" s="15" t="s">
        <v>24</v>
      </c>
      <c r="E20" s="16"/>
      <c r="F20" s="57" t="s">
        <v>22</v>
      </c>
    </row>
    <row r="21" spans="2:6" x14ac:dyDescent="0.25">
      <c r="B21" s="56" t="s">
        <v>20</v>
      </c>
      <c r="C21" s="16"/>
      <c r="D21" s="15" t="s">
        <v>24</v>
      </c>
      <c r="E21" s="16"/>
      <c r="F21" s="57" t="s">
        <v>21</v>
      </c>
    </row>
    <row r="22" spans="2:6" x14ac:dyDescent="0.25">
      <c r="B22" s="80"/>
      <c r="C22" s="81"/>
      <c r="D22" s="81"/>
      <c r="E22" s="81"/>
      <c r="F22" s="82"/>
    </row>
    <row r="23" spans="2:6" x14ac:dyDescent="0.25">
      <c r="B23" s="56" t="s">
        <v>21</v>
      </c>
      <c r="C23" s="16"/>
      <c r="D23" s="15" t="s">
        <v>24</v>
      </c>
      <c r="E23" s="16"/>
      <c r="F23" s="57" t="s">
        <v>17</v>
      </c>
    </row>
    <row r="24" spans="2:6" x14ac:dyDescent="0.25">
      <c r="B24" s="56" t="s">
        <v>21</v>
      </c>
      <c r="C24" s="16"/>
      <c r="D24" s="15" t="s">
        <v>24</v>
      </c>
      <c r="E24" s="16"/>
      <c r="F24" s="57" t="s">
        <v>19</v>
      </c>
    </row>
    <row r="25" spans="2:6" x14ac:dyDescent="0.25">
      <c r="B25" s="56" t="s">
        <v>21</v>
      </c>
      <c r="C25" s="16"/>
      <c r="D25" s="15" t="s">
        <v>24</v>
      </c>
      <c r="E25" s="16"/>
      <c r="F25" s="57" t="s">
        <v>20</v>
      </c>
    </row>
    <row r="26" spans="2:6" ht="15.75" thickBot="1" x14ac:dyDescent="0.3">
      <c r="B26" s="58" t="s">
        <v>21</v>
      </c>
      <c r="C26" s="38"/>
      <c r="D26" s="50" t="s">
        <v>24</v>
      </c>
      <c r="E26" s="38"/>
      <c r="F26" s="59" t="s">
        <v>22</v>
      </c>
    </row>
    <row r="27" spans="2:6" x14ac:dyDescent="0.25">
      <c r="B27" s="55"/>
    </row>
  </sheetData>
  <mergeCells count="6">
    <mergeCell ref="B22:F22"/>
    <mergeCell ref="K3:Q3"/>
    <mergeCell ref="B2:F2"/>
    <mergeCell ref="B7:F7"/>
    <mergeCell ref="B12:F12"/>
    <mergeCell ref="B17:F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ZERAR_PLACAR">
                <anchor moveWithCells="1" sizeWithCells="1">
                  <from>
                    <xdr:col>6</xdr:col>
                    <xdr:colOff>238125</xdr:colOff>
                    <xdr:row>2</xdr:row>
                    <xdr:rowOff>19050</xdr:rowOff>
                  </from>
                  <to>
                    <xdr:col>9</xdr:col>
                    <xdr:colOff>238125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F1D2-76A5-4CAD-87F0-416DF4CE5E0B}">
  <sheetPr codeName="Planilha7"/>
  <dimension ref="A1:Z24"/>
  <sheetViews>
    <sheetView tabSelected="1" topLeftCell="A2" zoomScale="70" zoomScaleNormal="70" workbookViewId="0">
      <selection activeCell="Y15" sqref="Y15"/>
    </sheetView>
  </sheetViews>
  <sheetFormatPr defaultRowHeight="15" x14ac:dyDescent="0.25"/>
  <cols>
    <col min="2" max="23" width="8.7109375" customWidth="1"/>
    <col min="25" max="25" width="13.85546875" customWidth="1"/>
    <col min="26" max="26" width="11" customWidth="1"/>
  </cols>
  <sheetData>
    <row r="1" spans="1:26" ht="30" customHeight="1" thickBot="1" x14ac:dyDescent="0.55000000000000004">
      <c r="B1" s="91" t="s">
        <v>29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3"/>
    </row>
    <row r="2" spans="1:26" ht="15" customHeight="1" x14ac:dyDescent="0.25"/>
    <row r="3" spans="1:26" ht="15" customHeight="1" x14ac:dyDescent="0.25"/>
    <row r="4" spans="1:26" ht="30" customHeight="1" x14ac:dyDescent="0.5">
      <c r="B4" s="90" t="s">
        <v>28</v>
      </c>
      <c r="C4" s="90"/>
      <c r="D4" s="90"/>
      <c r="E4" s="90"/>
      <c r="F4" s="90"/>
      <c r="G4" s="90"/>
      <c r="H4" s="90"/>
      <c r="I4" s="90"/>
      <c r="J4" s="90"/>
      <c r="K4" s="90"/>
      <c r="N4" s="89" t="s">
        <v>27</v>
      </c>
      <c r="O4" s="89"/>
      <c r="P4" s="89"/>
      <c r="Q4" s="89"/>
      <c r="R4" s="89"/>
      <c r="S4" s="89"/>
      <c r="T4" s="89"/>
      <c r="U4" s="89"/>
      <c r="V4" s="89"/>
      <c r="W4" s="89"/>
    </row>
    <row r="5" spans="1:26" ht="30" customHeight="1" x14ac:dyDescent="0.25">
      <c r="B5" s="64"/>
      <c r="C5" s="63"/>
      <c r="D5" s="63"/>
      <c r="E5" s="63"/>
      <c r="F5" s="63"/>
      <c r="G5" s="63"/>
      <c r="H5" s="63"/>
      <c r="I5" s="63"/>
      <c r="J5" s="63"/>
      <c r="K5" s="63"/>
      <c r="N5" s="71"/>
      <c r="O5" s="65"/>
      <c r="P5" s="65"/>
      <c r="Q5" s="65"/>
      <c r="R5" s="65"/>
      <c r="S5" s="65"/>
      <c r="T5" s="65"/>
      <c r="U5" s="65"/>
      <c r="V5" s="65"/>
      <c r="W5" s="65"/>
    </row>
    <row r="6" spans="1:26" ht="30" customHeight="1" x14ac:dyDescent="0.25">
      <c r="B6" s="63"/>
      <c r="C6" s="63"/>
      <c r="D6" s="63"/>
      <c r="E6" s="63"/>
      <c r="F6" s="63"/>
      <c r="G6" s="63"/>
      <c r="H6" s="64"/>
      <c r="I6" s="63"/>
      <c r="J6" s="63"/>
      <c r="K6" s="63"/>
      <c r="L6" s="69"/>
      <c r="N6" s="65"/>
      <c r="O6" s="65"/>
      <c r="P6" s="65"/>
      <c r="Q6" s="65"/>
      <c r="R6" s="65"/>
      <c r="S6" s="65"/>
      <c r="T6" s="71"/>
      <c r="U6" s="65"/>
      <c r="V6" s="65"/>
      <c r="W6" s="65"/>
    </row>
    <row r="7" spans="1:26" ht="30" customHeight="1" x14ac:dyDescent="0.25">
      <c r="B7" s="63"/>
      <c r="C7" s="64"/>
      <c r="D7" s="64"/>
      <c r="E7" s="64"/>
      <c r="F7" s="63"/>
      <c r="G7" s="64"/>
      <c r="H7" s="63"/>
      <c r="I7" s="64"/>
      <c r="J7" s="63"/>
      <c r="K7" s="63"/>
      <c r="N7" s="65"/>
      <c r="O7" s="71"/>
      <c r="P7" s="71"/>
      <c r="Q7" s="71"/>
      <c r="R7" s="65"/>
      <c r="S7" s="71"/>
      <c r="T7" s="65"/>
      <c r="U7" s="71"/>
      <c r="V7" s="65"/>
      <c r="W7" s="65"/>
    </row>
    <row r="8" spans="1:26" ht="30" customHeight="1" x14ac:dyDescent="0.25">
      <c r="B8" s="63"/>
      <c r="C8" s="64"/>
      <c r="D8" s="63"/>
      <c r="E8" s="70"/>
      <c r="F8" s="64"/>
      <c r="G8" s="64"/>
      <c r="H8" s="63"/>
      <c r="I8" s="63"/>
      <c r="J8" s="63"/>
      <c r="K8" s="63"/>
      <c r="L8" s="36"/>
      <c r="M8" s="36"/>
      <c r="N8" s="65"/>
      <c r="O8" s="71"/>
      <c r="P8" s="65"/>
      <c r="Q8" s="71"/>
      <c r="R8" s="71"/>
      <c r="S8" s="71"/>
      <c r="T8" s="65"/>
      <c r="U8" s="65"/>
      <c r="V8" s="65"/>
      <c r="W8" s="65"/>
      <c r="X8" s="36"/>
    </row>
    <row r="9" spans="1:26" ht="30" customHeight="1" x14ac:dyDescent="0.25">
      <c r="B9" s="63"/>
      <c r="C9" s="64"/>
      <c r="D9" s="63"/>
      <c r="E9" s="64"/>
      <c r="F9" s="63"/>
      <c r="G9" s="63"/>
      <c r="H9" s="63"/>
      <c r="I9" s="63"/>
      <c r="J9" s="70"/>
      <c r="K9" s="63"/>
      <c r="L9" s="36"/>
      <c r="M9" s="36"/>
      <c r="N9" s="65"/>
      <c r="O9" s="71"/>
      <c r="P9" s="65"/>
      <c r="Q9" s="71"/>
      <c r="R9" s="65"/>
      <c r="S9" s="65"/>
      <c r="T9" s="65"/>
      <c r="U9" s="65"/>
      <c r="V9" s="71"/>
      <c r="W9" s="65"/>
      <c r="X9" s="36"/>
    </row>
    <row r="10" spans="1:26" ht="30" customHeight="1" x14ac:dyDescent="0.25">
      <c r="A10" s="36"/>
      <c r="B10" s="63"/>
      <c r="C10" s="64"/>
      <c r="D10" s="63"/>
      <c r="E10" s="63"/>
      <c r="F10" s="63"/>
      <c r="G10" s="63"/>
      <c r="H10" s="70"/>
      <c r="I10" s="64"/>
      <c r="J10" s="70"/>
      <c r="K10" s="63"/>
      <c r="L10" s="36"/>
      <c r="M10" s="36"/>
      <c r="N10" s="65"/>
      <c r="O10" s="71"/>
      <c r="P10" s="65"/>
      <c r="Q10" s="65"/>
      <c r="R10" s="65"/>
      <c r="S10" s="65"/>
      <c r="T10" s="71"/>
      <c r="U10" s="71"/>
      <c r="V10" s="71"/>
      <c r="W10" s="65"/>
      <c r="X10" s="36"/>
    </row>
    <row r="11" spans="1:26" ht="30" customHeight="1" x14ac:dyDescent="0.25">
      <c r="A11" s="36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36"/>
      <c r="M11" s="36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6"/>
      <c r="Y11" s="94"/>
      <c r="Z11" s="94"/>
    </row>
    <row r="12" spans="1:26" ht="30" customHeight="1" x14ac:dyDescent="0.3">
      <c r="A12" s="36"/>
      <c r="B12" s="63"/>
      <c r="C12" s="63"/>
      <c r="D12" s="64"/>
      <c r="E12" s="63"/>
      <c r="F12" s="63"/>
      <c r="G12" s="64"/>
      <c r="H12" s="63"/>
      <c r="I12" s="63"/>
      <c r="J12" s="63"/>
      <c r="K12" s="63"/>
      <c r="L12" s="36"/>
      <c r="M12" s="36"/>
      <c r="N12" s="65"/>
      <c r="O12" s="65"/>
      <c r="P12" s="71"/>
      <c r="Q12" s="65"/>
      <c r="R12" s="65"/>
      <c r="S12" s="71"/>
      <c r="T12" s="65"/>
      <c r="U12" s="65"/>
      <c r="V12" s="65"/>
      <c r="W12" s="65"/>
      <c r="X12" s="66"/>
      <c r="Y12" s="68"/>
      <c r="Z12" s="68"/>
    </row>
    <row r="13" spans="1:26" ht="30" customHeight="1" x14ac:dyDescent="0.3">
      <c r="A13" s="36"/>
      <c r="B13" s="63"/>
      <c r="C13" s="63"/>
      <c r="D13" s="63"/>
      <c r="E13" s="63"/>
      <c r="F13" s="63"/>
      <c r="G13" s="63"/>
      <c r="H13" s="63"/>
      <c r="I13" s="63"/>
      <c r="J13" s="64"/>
      <c r="K13" s="63"/>
      <c r="L13" s="36"/>
      <c r="M13" s="36"/>
      <c r="N13" s="65"/>
      <c r="O13" s="65"/>
      <c r="P13" s="65"/>
      <c r="Q13" s="65"/>
      <c r="R13" s="65"/>
      <c r="S13" s="65"/>
      <c r="T13" s="65"/>
      <c r="U13" s="65"/>
      <c r="V13" s="71"/>
      <c r="W13" s="65"/>
      <c r="X13" s="66"/>
      <c r="Y13" s="67"/>
      <c r="Z13" s="68"/>
    </row>
    <row r="14" spans="1:26" ht="30" customHeight="1" x14ac:dyDescent="0.3">
      <c r="A14" s="36"/>
      <c r="B14" s="63"/>
      <c r="C14" s="63"/>
      <c r="D14" s="63"/>
      <c r="E14" s="64"/>
      <c r="F14" s="63"/>
      <c r="G14" s="63"/>
      <c r="H14" s="63"/>
      <c r="I14" s="63"/>
      <c r="J14" s="63"/>
      <c r="K14" s="63"/>
      <c r="L14" s="36"/>
      <c r="M14" s="36"/>
      <c r="N14" s="65"/>
      <c r="O14" s="65"/>
      <c r="P14" s="65"/>
      <c r="Q14" s="71"/>
      <c r="R14" s="65"/>
      <c r="S14" s="65"/>
      <c r="T14" s="65"/>
      <c r="U14" s="65"/>
      <c r="V14" s="65"/>
      <c r="W14" s="65"/>
      <c r="X14" s="66"/>
      <c r="Y14" s="67"/>
      <c r="Z14" s="68"/>
    </row>
    <row r="15" spans="1:2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</row>
    <row r="16" spans="1:26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</row>
    <row r="17" spans="1:24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</row>
    <row r="18" spans="1:24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</row>
    <row r="19" spans="1:24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</row>
    <row r="20" spans="1:24" x14ac:dyDescent="0.25"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</row>
    <row r="21" spans="1:24" x14ac:dyDescent="0.25"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</row>
    <row r="22" spans="1:24" x14ac:dyDescent="0.25"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</row>
    <row r="23" spans="1:24" x14ac:dyDescent="0.25"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</row>
    <row r="24" spans="1:24" x14ac:dyDescent="0.25"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</row>
  </sheetData>
  <mergeCells count="4">
    <mergeCell ref="N4:W4"/>
    <mergeCell ref="B4:K4"/>
    <mergeCell ref="B1:W1"/>
    <mergeCell ref="Y11:Z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cro28">
                <anchor moveWithCells="1" sizeWithCells="1">
                  <from>
                    <xdr:col>24</xdr:col>
                    <xdr:colOff>38100</xdr:colOff>
                    <xdr:row>3</xdr:row>
                    <xdr:rowOff>19050</xdr:rowOff>
                  </from>
                  <to>
                    <xdr:col>27</xdr:col>
                    <xdr:colOff>38100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Macro24">
                <anchor moveWithCells="1" sizeWithCells="1">
                  <from>
                    <xdr:col>24</xdr:col>
                    <xdr:colOff>9525</xdr:colOff>
                    <xdr:row>6</xdr:row>
                    <xdr:rowOff>66675</xdr:rowOff>
                  </from>
                  <to>
                    <xdr:col>27</xdr:col>
                    <xdr:colOff>19050</xdr:colOff>
                    <xdr:row>8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Exercicio 3</vt:lpstr>
      <vt:lpstr>Exercício 4</vt:lpstr>
      <vt:lpstr>Exercício 5</vt:lpstr>
      <vt:lpstr>Exercício 6</vt:lpstr>
      <vt:lpstr>Exercício 7</vt:lpstr>
      <vt:lpstr>Exercício 8</vt:lpstr>
      <vt:lpstr>Questão 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D'agostin Zanelato</dc:creator>
  <cp:lastModifiedBy>Gustavo D'agostin Zanelato</cp:lastModifiedBy>
  <cp:lastPrinted>2023-05-30T20:22:35Z</cp:lastPrinted>
  <dcterms:created xsi:type="dcterms:W3CDTF">2023-05-30T16:35:32Z</dcterms:created>
  <dcterms:modified xsi:type="dcterms:W3CDTF">2023-05-30T20:23:53Z</dcterms:modified>
</cp:coreProperties>
</file>